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4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1. Quy trình 4 bước" sheetId="2" state="visible" r:id="rId4"/>
    <sheet name="2. Bus Matrix" sheetId="3" state="visible" r:id="rId5"/>
    <sheet name="3. Danh mục bảng" sheetId="4" state="visible" r:id="rId6"/>
    <sheet name="4. SCD" sheetId="5" state="visible" r:id="rId7"/>
    <sheet name="5. Độ đo" sheetId="6" state="visible" r:id="rId8"/>
    <sheet name="6. Phân cấp" sheetId="7" state="visible" r:id="rId9"/>
    <sheet name="DimDate" sheetId="8" state="visible" r:id="rId10"/>
    <sheet name="DimCircuit" sheetId="9" state="visible" r:id="rId11"/>
    <sheet name="DimRace" sheetId="10" state="visible" r:id="rId12"/>
    <sheet name="DimDriver" sheetId="11" state="visible" r:id="rId13"/>
    <sheet name="DimConstructor" sheetId="12" state="visible" r:id="rId14"/>
    <sheet name="DimStatus" sheetId="13" state="visible" r:id="rId15"/>
    <sheet name="DimSessionType" sheetId="14" state="visible" r:id="rId16"/>
    <sheet name="DimAudit" sheetId="15" state="visible" r:id="rId17"/>
    <sheet name="FactRaceResult" sheetId="16" state="visible" r:id="rId18"/>
    <sheet name="FactQualifying" sheetId="17" state="visible" r:id="rId19"/>
    <sheet name="FactLapTime" sheetId="18" state="visible" r:id="rId20"/>
    <sheet name="FactPitStop" sheetId="19" state="visible" r:id="rId21"/>
    <sheet name="FactDriverStandingSnapshot" sheetId="20" state="visible" r:id="rId22"/>
    <sheet name="FactConstructorStandingSnapshot" sheetId="21" state="visible" r:id="rId23"/>
    <sheet name="FactRaceWeekend" sheetId="22" state="visible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<sst xmlns="http://schemas.openxmlformats.org/spreadsheetml/2006/main" count="2473" uniqueCount="767">
  <si>
    <t xml:space="preserve">THIẾT KẾ KHO DỮ LIỆU FORMULA 1 (F1_DWH) – PHƯƠNG PHÁP KIMBALL</t>
  </si>
  <si>
    <t xml:space="preserve">Dimensional Modeling Workbook · Nguồn: Formula 1 World Championship 1950–2024 (14 file CSV)</t>
  </si>
  <si>
    <t xml:space="preserve">Mục</t>
  </si>
  <si>
    <t xml:space="preserve">Nội dung</t>
  </si>
  <si>
    <t xml:space="preserve">Phương pháp</t>
  </si>
  <si>
    <t xml:space="preserve">Kimball – Bottom-up, mô hình chiều (dimensional modeling), kiến trúc bus với các chiều dùng chung (conformed dimensions).</t>
  </si>
  <si>
    <t xml:space="preserve">Kiến trúc</t>
  </si>
  <si>
    <t xml:space="preserve">14 file CSV → F1_SOURCE (CSDL nguồn OLTP, file 00) → ETL T-SQL (schema etl, file 03) → F1_DWH (presentation area, file 01).</t>
  </si>
  <si>
    <t xml:space="preserve">Quy trình thiết kế 4 bước</t>
  </si>
  <si>
    <t xml:space="preserve">(1) Chọn quy trình nghiệp vụ → (2) Khai báo hạt (grain) → (3) Xác định chiều → (4) Xác định độ đo. Xem sheet '1. Quy trình 4 bước'.</t>
  </si>
  <si>
    <t xml:space="preserve">Lược đồ</t>
  </si>
  <si>
    <t xml:space="preserve">Chòm sao (fact constellation): 8 chiều dùng chung + 7 bảng sự kiện thuộc 7 quy trình.</t>
  </si>
  <si>
    <t xml:space="preserve">Loại bảng sự kiện</t>
  </si>
  <si>
    <t xml:space="preserve">Transaction (4 bảng), Periodic snapshot (2 bảng), Accumulating snapshot (1 bảng).</t>
  </si>
  <si>
    <t xml:space="preserve">Khoá thay thế</t>
  </si>
  <si>
    <t xml:space="preserve">Mọi chiều dùng surrogate key IDENTITY (trừ DimDate dùng khoá yyyymmdd). Khoá tự nhiên được giữ làm cột NK/durable key.</t>
  </si>
  <si>
    <t xml:space="preserve">Unknown member</t>
  </si>
  <si>
    <t xml:space="preserve">Mỗi chiều có dòng khoá -1 'Unknown'. ETL không tra được khoá → gán -1, fact không bao giờ NULL khoá ngoại.</t>
  </si>
  <si>
    <t xml:space="preserve">SCD</t>
  </si>
  <si>
    <t xml:space="preserve">Type 1 (ghi đè) cho Circuit, Race, Status; Type 1 + Type 2 (lưu lịch sử) cho Driver, Constructor. Xem sheet '4. SCD'.</t>
  </si>
  <si>
    <t xml:space="preserve">Kỹ thuật đặc biệt</t>
  </si>
  <si>
    <t xml:space="preserve">Role-playing (DimDate 4 vai, DimDriver 3 vai trong FactRaceWeekend) · Degenerate dimension (ResultID, QualifyID, StopNumber) · Audit dimension (DimAudit) · Point-in-time lookup cho SCD2 · Nạp tăng dần.</t>
  </si>
  <si>
    <t xml:space="preserve">Quy ước độ đo</t>
  </si>
  <si>
    <t xml:space="preserve">Cờ 0/1 lưu dạng TINYINT tên …Count để SUM = số lần, AVG = tỉ lệ. Thời gian lưu mili-giây (…Ms).</t>
  </si>
  <si>
    <t xml:space="preserve">Thứ tự chạy script</t>
  </si>
  <si>
    <t xml:space="preserve">00_create_f1_source.sql → 01_create_f1_dwh.sql → 03_etl_f1_dwh.sql → 02_olap_queries.sql → 04_demo_scd2.sql</t>
  </si>
  <si>
    <t xml:space="preserve">Danh mục sheet</t>
  </si>
  <si>
    <t xml:space="preserve">Sheet</t>
  </si>
  <si>
    <t xml:space="preserve">1. Quy trình 4 bước</t>
  </si>
  <si>
    <t xml:space="preserve">4 bước thiết kế Kimball cho từng quy trình nghiệp vụ</t>
  </si>
  <si>
    <t xml:space="preserve">2. Bus Matrix</t>
  </si>
  <si>
    <t xml:space="preserve">Ma trận bus: quy trình × chiều dùng chung</t>
  </si>
  <si>
    <t xml:space="preserve">3. Danh mục bảng</t>
  </si>
  <si>
    <t xml:space="preserve">Toàn bộ bảng chiều / sự kiện, hạt, SCD, số dòng</t>
  </si>
  <si>
    <t xml:space="preserve">4. SCD</t>
  </si>
  <si>
    <t xml:space="preserve">Chính sách SCD cho từng thuộc tính chiều</t>
  </si>
  <si>
    <t xml:space="preserve">5. Độ đo</t>
  </si>
  <si>
    <t xml:space="preserve">Danh sách độ đo và tính cộng dồn</t>
  </si>
  <si>
    <t xml:space="preserve">6. Phân cấp</t>
  </si>
  <si>
    <t xml:space="preserve">Các phân cấp (hierarchy) để roll-up / drill-down</t>
  </si>
  <si>
    <t xml:space="preserve">DimDate</t>
  </si>
  <si>
    <t xml:space="preserve">Đặc tả chi tiết + ánh xạ nguồn → đích</t>
  </si>
  <si>
    <t xml:space="preserve">DimCircuit</t>
  </si>
  <si>
    <t xml:space="preserve">DimRace</t>
  </si>
  <si>
    <t xml:space="preserve">DimDriver</t>
  </si>
  <si>
    <t xml:space="preserve">DimConstructor</t>
  </si>
  <si>
    <t xml:space="preserve">DimStatus</t>
  </si>
  <si>
    <t xml:space="preserve">DimSessionType</t>
  </si>
  <si>
    <t xml:space="preserve">DimAudit</t>
  </si>
  <si>
    <t xml:space="preserve">FactRaceResult</t>
  </si>
  <si>
    <t xml:space="preserve">FactQualifying</t>
  </si>
  <si>
    <t xml:space="preserve">FactLapTime</t>
  </si>
  <si>
    <t xml:space="preserve">FactPitStop</t>
  </si>
  <si>
    <t xml:space="preserve">FactDriverStandingSnapshot</t>
  </si>
  <si>
    <t xml:space="preserve">FactConstructorStandingSnapshot</t>
  </si>
  <si>
    <t xml:space="preserve">FactRaceWeekend</t>
  </si>
  <si>
    <t xml:space="preserve">QUY TRÌNH THIẾT KẾ 4 BƯỚC CỦA KIMBALL</t>
  </si>
  <si>
    <t xml:space="preserve">Bước 1: quy trình nghiệp vụ · Bước 2: hạt · Bước 3: chiều · Bước 4: độ đo</t>
  </si>
  <si>
    <t xml:space="preserve">#</t>
  </si>
  <si>
    <t xml:space="preserve">B1. Quy trình nghiệp vụ</t>
  </si>
  <si>
    <t xml:space="preserve">Bảng sự kiện</t>
  </si>
  <si>
    <t xml:space="preserve">B2. Hạt (grain)</t>
  </si>
  <si>
    <t xml:space="preserve">B3. Các chiều</t>
  </si>
  <si>
    <t xml:space="preserve">B4. Độ đo (facts)</t>
  </si>
  <si>
    <t xml:space="preserve">Câu hỏi phân tích</t>
  </si>
  <si>
    <t xml:space="preserve">Kết quả đua</t>
  </si>
  <si>
    <t xml:space="preserve">Transaction</t>
  </si>
  <si>
    <t xml:space="preserve">1 tay đua × 1 phiên đua (GP/Sprint)</t>
  </si>
  <si>
    <t xml:space="preserve">DimDate, DimRace, DimCircuit, DimDriver, DimConstructor, DimStatus, DimSessionType, DimAudit</t>
  </si>
  <si>
    <t xml:space="preserve">Points, Grid/Finish position, RaceTimeMs, FastestLap*, PositionsGained, Win/Podium/Pole/DNF/HomeRace Count</t>
  </si>
  <si>
    <t xml:space="preserve">Ai thắng nhiều nhất? Tỉ lệ DNF theo thời kỳ? Lợi thế sân nhà?</t>
  </si>
  <si>
    <t xml:space="preserve">Phân hạng</t>
  </si>
  <si>
    <t xml:space="preserve">1 tay đua × 1 chặng</t>
  </si>
  <si>
    <t xml:space="preserve">DimDate, DimRace, DimCircuit, DimDriver, DimConstructor, DimAudit</t>
  </si>
  <si>
    <t xml:space="preserve">QualiPosition, Q1/Q2/Q3Ms, BestLapMs, GapToPole, ReachedQ2/Q3</t>
  </si>
  <si>
    <t xml:space="preserve">Đội nào nhanh nhất ở phân hạng?</t>
  </si>
  <si>
    <t xml:space="preserve">Tính giờ vòng đua</t>
  </si>
  <si>
    <t xml:space="preserve">1 tay đua × 1 vòng × 1 chặng</t>
  </si>
  <si>
    <t xml:space="preserve">LapTimeMs, PositionOnLap</t>
  </si>
  <si>
    <t xml:space="preserve">Vòng nhanh nhất mỗi trường đua? Tốc độ thay đổi theo năm?</t>
  </si>
  <si>
    <t xml:space="preserve">Pit stop</t>
  </si>
  <si>
    <t xml:space="preserve">1 lần vào pit</t>
  </si>
  <si>
    <t xml:space="preserve">PitLaneTimeMs, LapNumber, OutlierCount</t>
  </si>
  <si>
    <t xml:space="preserve">Đội nào pit nhanh nhất mỗi mùa?</t>
  </si>
  <si>
    <t xml:space="preserve">Xếp hạng vô địch – tay đua</t>
  </si>
  <si>
    <t xml:space="preserve">Periodic snapshot</t>
  </si>
  <si>
    <t xml:space="preserve">1 tay đua × sau mỗi chặng</t>
  </si>
  <si>
    <t xml:space="preserve">DimDate, DimRace, DimDriver, DimAudit</t>
  </si>
  <si>
    <t xml:space="preserve">StandingPosition, CumulativePoints, CumulativeWins (semi-additive)</t>
  </si>
  <si>
    <t xml:space="preserve">Ai vô địch? Cuộc đua điểm diễn biến ra sao?</t>
  </si>
  <si>
    <t xml:space="preserve">Xếp hạng vô địch – đội</t>
  </si>
  <si>
    <t xml:space="preserve">1 đội × sau mỗi chặng</t>
  </si>
  <si>
    <t xml:space="preserve">DimDate, DimRace, DimConstructor, DimAudit</t>
  </si>
  <si>
    <t xml:space="preserve">Đội nào vô địch từng mùa?</t>
  </si>
  <si>
    <t xml:space="preserve">Cuối tuần đua</t>
  </si>
  <si>
    <t xml:space="preserve">Accumulating snapshot</t>
  </si>
  <si>
    <t xml:space="preserve">1 chặng đua (cập nhật theo mốc)</t>
  </si>
  <si>
    <t xml:space="preserve">Entrant/Classified/DNF Count, WinningMarginMs, PoleLapMs, PitStopCount, DaysFP1ToRace, PoleConvertedCount</t>
  </si>
  <si>
    <t xml:space="preserve">Tỉ lệ pole → thắng? Cách biệt chiến thắng?</t>
  </si>
  <si>
    <t xml:space="preserve">MA TRẬN BUS (ENTERPRISE DATA WAREHOUSE BUS MATRIX)</t>
  </si>
  <si>
    <t xml:space="preserve">X = quy trình dùng chiều đó · 'X (n vai)' = role-playing · Chiều dùng chung (conformed) giúp khoan ngang (drill-across) giữa các bảng sự kiện</t>
  </si>
  <si>
    <t xml:space="preserve">Quy trình nghiệp vụ</t>
  </si>
  <si>
    <t xml:space="preserve">Số chiều</t>
  </si>
  <si>
    <t xml:space="preserve">X</t>
  </si>
  <si>
    <t xml:space="preserve">X (4 vai)</t>
  </si>
  <si>
    <t xml:space="preserve">X (3 vai)</t>
  </si>
  <si>
    <t xml:space="preserve">Số quy trình dùng chiều</t>
  </si>
  <si>
    <t xml:space="preserve">Ghi chú: DimAudit là audit dimension – gắn với mọi bảng sự kiện để truy vết lô ETL.</t>
  </si>
  <si>
    <t xml:space="preserve">DANH MỤC BẢNG TRONG F1_DWH</t>
  </si>
  <si>
    <t xml:space="preserve">Số cột được đếm bằng công thức từ sheet đặc tả của từng bảng</t>
  </si>
  <si>
    <t xml:space="preserve">Bảng</t>
  </si>
  <si>
    <t xml:space="preserve">Loại</t>
  </si>
  <si>
    <t xml:space="preserve">Loại fact</t>
  </si>
  <si>
    <t xml:space="preserve">Hạt (grain)</t>
  </si>
  <si>
    <t xml:space="preserve">Xử lý thay đổi / nạp</t>
  </si>
  <si>
    <t xml:space="preserve">Số dòng (sau lần nạp đầu)</t>
  </si>
  <si>
    <t xml:space="preserve">Số cột</t>
  </si>
  <si>
    <t xml:space="preserve">Mô tả</t>
  </si>
  <si>
    <t xml:space="preserve">Chiều</t>
  </si>
  <si>
    <t xml:space="preserve">—</t>
  </si>
  <si>
    <t xml:space="preserve">1 dòng = 1 ngày dương lịch (1950-01-01 → 2030-12-31) + 1 dòng Unknown</t>
  </si>
  <si>
    <t xml:space="preserve">Tĩnh (sinh sẵn)</t>
  </si>
  <si>
    <t xml:space="preserve">29,586</t>
  </si>
  <si>
    <t xml:space="preserve">Chiều ngày dùng chung; nhập vai (role-playing) trong FactRaceWeekend (FP1, Quali, Sprint, Race).</t>
  </si>
  <si>
    <t xml:space="preserve">1 dòng = 1 trường đua</t>
  </si>
  <si>
    <t xml:space="preserve">Type 1</t>
  </si>
  <si>
    <t xml:space="preserve">78</t>
  </si>
  <si>
    <t xml:space="preserve">Trường đua; phân cấp Continent → Country → City → Circuit.</t>
  </si>
  <si>
    <t xml:space="preserve">1 dòng = 1 chặng đua</t>
  </si>
  <si>
    <t xml:space="preserve">1,126</t>
  </si>
  <si>
    <t xml:space="preserve">Chặng đua (Grand Prix); phân cấp Decade → Season → Round.</t>
  </si>
  <si>
    <t xml:space="preserve">1 dòng = 1 phiên bản của 1 tay đua</t>
  </si>
  <si>
    <t xml:space="preserve">Type 1 + Type 2</t>
  </si>
  <si>
    <t xml:space="preserve">862 (ban đầu)</t>
  </si>
  <si>
    <t xml:space="preserve">Tay đua. SCD hỗn hợp: Type 2 cho mã, số xe, quốc tịch; Type 1 cho tên, ngày sinh.</t>
  </si>
  <si>
    <t xml:space="preserve">1 dòng = 1 phiên bản của 1 đội</t>
  </si>
  <si>
    <t xml:space="preserve">213 (ban đầu)</t>
  </si>
  <si>
    <t xml:space="preserve">Đội đua. Type 2 cho tên đội và quốc tịch; Type 1 cho mã tham chiếu.</t>
  </si>
  <si>
    <t xml:space="preserve">1 dòng = 1 trạng thái</t>
  </si>
  <si>
    <t xml:space="preserve">140</t>
  </si>
  <si>
    <t xml:space="preserve">Trạng thái kết thúc cuộc đua; phân cấp StatusGroup → Status.</t>
  </si>
  <si>
    <t xml:space="preserve">1 dòng = 1 loại phiên</t>
  </si>
  <si>
    <t xml:space="preserve">Tĩnh</t>
  </si>
  <si>
    <t xml:space="preserve">3</t>
  </si>
  <si>
    <t xml:space="preserve">Loại phiên đua, cho phép gộp Grand Prix và Sprint trong 1 fact.</t>
  </si>
  <si>
    <t xml:space="preserve">1 dòng = 1 lô ETL</t>
  </si>
  <si>
    <t xml:space="preserve">Chỉ thêm (append)</t>
  </si>
  <si>
    <t xml:space="preserve">Tăng theo số lần chạy</t>
  </si>
  <si>
    <t xml:space="preserve">Audit dimension (Kimball ETL subsystem): mỗi lần chạy ETL = 1 dòng; mọi fact mang AuditKey.</t>
  </si>
  <si>
    <t xml:space="preserve">Fact</t>
  </si>
  <si>
    <t xml:space="preserve">1 dòng = 1 tay đua × 1 phiên đua</t>
  </si>
  <si>
    <t xml:space="preserve">Nạp tăng dần</t>
  </si>
  <si>
    <t xml:space="preserve">27,119</t>
  </si>
  <si>
    <t xml:space="preserve">Kết quả của mỗi tay đua trong mỗi phiên đua (Grand Prix + Sprint).</t>
  </si>
  <si>
    <t xml:space="preserve">1 dòng = 1 tay đua × 1 chặng</t>
  </si>
  <si>
    <t xml:space="preserve">10,494</t>
  </si>
  <si>
    <t xml:space="preserve">Kết quả phân hạng (từ 1994).</t>
  </si>
  <si>
    <t xml:space="preserve">1 dòng = 1 tay đua × 1 vòng × 1 chặng</t>
  </si>
  <si>
    <t xml:space="preserve">589,081</t>
  </si>
  <si>
    <t xml:space="preserve">Thời gian từng vòng đua (từ 1996) – bảng lớn nhất.</t>
  </si>
  <si>
    <t xml:space="preserve">1 dòng = 1 lần vào pit</t>
  </si>
  <si>
    <t xml:space="preserve">11,371</t>
  </si>
  <si>
    <t xml:space="preserve">Mỗi lần vào pit (từ 2011).</t>
  </si>
  <si>
    <t xml:space="preserve">1 dòng = 1 tay đua × sau 1 chặng</t>
  </si>
  <si>
    <t xml:space="preserve">34,863</t>
  </si>
  <si>
    <t xml:space="preserve">Bảng xếp hạng tay đua sau mỗi chặng.</t>
  </si>
  <si>
    <t xml:space="preserve">1 dòng = 1 đội × sau 1 chặng</t>
  </si>
  <si>
    <t xml:space="preserve">13,391</t>
  </si>
  <si>
    <t xml:space="preserve">Bảng xếp hạng đội đua sau mỗi chặng (từ 1958).</t>
  </si>
  <si>
    <t xml:space="preserve">MERGE (insert + update)</t>
  </si>
  <si>
    <t xml:space="preserve">1,125</t>
  </si>
  <si>
    <t xml:space="preserve">Tiến trình cuối tuần đua: một dòng được CẬP NHẬT khi các mốc FP1 → Quali → Sprint → Race hoàn thành. Minh hoạ role-playing.</t>
  </si>
  <si>
    <t xml:space="preserve">Tổng</t>
  </si>
  <si>
    <t xml:space="preserve">CHÍNH SÁCH SCD (SLOWLY CHANGING DIMENSIONS)</t>
  </si>
  <si>
    <t xml:space="preserve">Type 1 = ghi đè (không giữ lịch sử) · Type 2 = đóng dòng cũ, thêm dòng mới với RowEffectiveDate / RowExpirationDate / IsCurrentRow</t>
  </si>
  <si>
    <t xml:space="preserve">Thuộc tính</t>
  </si>
  <si>
    <t xml:space="preserve">SCD Type</t>
  </si>
  <si>
    <t xml:space="preserve">Lý do</t>
  </si>
  <si>
    <t xml:space="preserve">Cách ETL xử lý</t>
  </si>
  <si>
    <t xml:space="preserve">CircuitRef</t>
  </si>
  <si>
    <t xml:space="preserve">Sửa lỗi / thông tin mô tả – báo cáo luôn dùng giá trị mới nhất</t>
  </si>
  <si>
    <t xml:space="preserve">UPDATE mọi dòng cùng khoá tự nhiên (MERGE … WHEN MATCHED)</t>
  </si>
  <si>
    <t xml:space="preserve">CircuitName</t>
  </si>
  <si>
    <t xml:space="preserve">City</t>
  </si>
  <si>
    <t xml:space="preserve">Country</t>
  </si>
  <si>
    <t xml:space="preserve">Continent</t>
  </si>
  <si>
    <t xml:space="preserve">Latitude</t>
  </si>
  <si>
    <t xml:space="preserve">Longitude</t>
  </si>
  <si>
    <t xml:space="preserve">AltitudeM</t>
  </si>
  <si>
    <t xml:space="preserve">RaceName</t>
  </si>
  <si>
    <t xml:space="preserve">Season</t>
  </si>
  <si>
    <t xml:space="preserve">Decade</t>
  </si>
  <si>
    <t xml:space="preserve">Round</t>
  </si>
  <si>
    <t xml:space="preserve">RoundsInSeason</t>
  </si>
  <si>
    <t xml:space="preserve">IsSeasonFinale</t>
  </si>
  <si>
    <t xml:space="preserve">RaceDate</t>
  </si>
  <si>
    <t xml:space="preserve">RaceStartTimeUTC</t>
  </si>
  <si>
    <t xml:space="preserve">WeekendFormat</t>
  </si>
  <si>
    <t xml:space="preserve">DriverRef</t>
  </si>
  <si>
    <t xml:space="preserve">DriverCode</t>
  </si>
  <si>
    <t xml:space="preserve">Type 2</t>
  </si>
  <si>
    <t xml:space="preserve">Cần phân tích theo giá trị tại thời điểm xảy ra sự kiện (VD: đội đổi tên, tay đua đổi quốc tịch/mã)</t>
  </si>
  <si>
    <t xml:space="preserve">UPDATE dòng Current → Expired, RowExpirationDate = hôm qua; INSERT dòng mới Current từ hôm nay</t>
  </si>
  <si>
    <t xml:space="preserve">PermanentNumber</t>
  </si>
  <si>
    <t xml:space="preserve">FirstName</t>
  </si>
  <si>
    <t xml:space="preserve">LastName</t>
  </si>
  <si>
    <t xml:space="preserve">FullName</t>
  </si>
  <si>
    <t xml:space="preserve">DateOfBirth</t>
  </si>
  <si>
    <t xml:space="preserve">Nationality</t>
  </si>
  <si>
    <t xml:space="preserve">NationalityCountry</t>
  </si>
  <si>
    <t xml:space="preserve">ConstructorRef</t>
  </si>
  <si>
    <t xml:space="preserve">ConstructorName</t>
  </si>
  <si>
    <t xml:space="preserve">StatusDesc</t>
  </si>
  <si>
    <t xml:space="preserve">StatusGroup</t>
  </si>
  <si>
    <t xml:space="preserve">FinishClassification</t>
  </si>
  <si>
    <t xml:space="preserve">Tổng thuộc tính Type 2</t>
  </si>
  <si>
    <t xml:space="preserve">Tổng thuộc tính Type 1</t>
  </si>
  <si>
    <t xml:space="preserve">DANH SÁCH ĐỘ ĐO (MEASURES)</t>
  </si>
  <si>
    <t xml:space="preserve">Additive: cộng theo mọi chiều · Semi-additive: không cộng theo thời gian · Non-additive: dùng MIN/MAX/AVG</t>
  </si>
  <si>
    <t xml:space="preserve">Độ đo</t>
  </si>
  <si>
    <t xml:space="preserve">Kiểu</t>
  </si>
  <si>
    <t xml:space="preserve">Tính cộng dồn</t>
  </si>
  <si>
    <t xml:space="preserve">Quy tắc tính</t>
  </si>
  <si>
    <t xml:space="preserve">GridPosition</t>
  </si>
  <si>
    <t xml:space="preserve">INT</t>
  </si>
  <si>
    <t xml:space="preserve">Non-additive</t>
  </si>
  <si>
    <t xml:space="preserve">Vị trí xuất phát (0 = pit lane)</t>
  </si>
  <si>
    <t xml:space="preserve">FinishPosition</t>
  </si>
  <si>
    <t xml:space="preserve">Vị trí về đích (NULL = không xếp hạng)</t>
  </si>
  <si>
    <t xml:space="preserve">'\N' → NULL</t>
  </si>
  <si>
    <t xml:space="preserve">PositionOrder</t>
  </si>
  <si>
    <t xml:space="preserve">Thứ tự xếp hạng cuối</t>
  </si>
  <si>
    <t xml:space="preserve">Points</t>
  </si>
  <si>
    <t xml:space="preserve">DECIMAL(6,2)</t>
  </si>
  <si>
    <t xml:space="preserve">Additive</t>
  </si>
  <si>
    <t xml:space="preserve">Điểm giành được</t>
  </si>
  <si>
    <t xml:space="preserve">LapsCompleted</t>
  </si>
  <si>
    <t xml:space="preserve">Số vòng hoàn thành</t>
  </si>
  <si>
    <t xml:space="preserve">RaceTimeMs</t>
  </si>
  <si>
    <t xml:space="preserve">BIGINT</t>
  </si>
  <si>
    <t xml:space="preserve">Tổng thời gian đua (ms)</t>
  </si>
  <si>
    <t xml:space="preserve">FastestLapNumber</t>
  </si>
  <si>
    <t xml:space="preserve">Vòng chạy nhanh nhất</t>
  </si>
  <si>
    <t xml:space="preserve">FastestLapRank</t>
  </si>
  <si>
    <t xml:space="preserve">Hạng vòng nhanh nhất</t>
  </si>
  <si>
    <t xml:space="preserve">FastestLapTimeMs</t>
  </si>
  <si>
    <t xml:space="preserve">Thời gian vòng nhanh nhất (ms)</t>
  </si>
  <si>
    <t xml:space="preserve">etl.fn_TimeToMs('m:ss.fff')</t>
  </si>
  <si>
    <t xml:space="preserve">FastestLapSpeedKph</t>
  </si>
  <si>
    <t xml:space="preserve">DECIMAL(7,3)</t>
  </si>
  <si>
    <t xml:space="preserve">Tốc độ vòng nhanh nhất (km/h)</t>
  </si>
  <si>
    <t xml:space="preserve">DriverAgeAtRace</t>
  </si>
  <si>
    <t xml:space="preserve">DECIMAL(4,1)</t>
  </si>
  <si>
    <t xml:space="preserve">Tuổi tay đua tại ngày đua</t>
  </si>
  <si>
    <t xml:space="preserve">DATEDIFF(DAY,dob,RaceDate)/365.25</t>
  </si>
  <si>
    <t xml:space="preserve">PositionsGained</t>
  </si>
  <si>
    <t xml:space="preserve">Số bậc tăng</t>
  </si>
  <si>
    <t xml:space="preserve">grid &gt; 0 → grid − positionOrder</t>
  </si>
  <si>
    <t xml:space="preserve">WinCount</t>
  </si>
  <si>
    <t xml:space="preserve">TINYINT</t>
  </si>
  <si>
    <t xml:space="preserve">1 nếu thắng</t>
  </si>
  <si>
    <t xml:space="preserve">position = 1</t>
  </si>
  <si>
    <t xml:space="preserve">PodiumCount</t>
  </si>
  <si>
    <t xml:space="preserve">1 nếu lên bục</t>
  </si>
  <si>
    <t xml:space="preserve">position ≤ 3</t>
  </si>
  <si>
    <t xml:space="preserve">PoleCount</t>
  </si>
  <si>
    <t xml:space="preserve">1 nếu xuất phát đầu</t>
  </si>
  <si>
    <t xml:space="preserve">grid = 1</t>
  </si>
  <si>
    <t xml:space="preserve">PointsFinishCount</t>
  </si>
  <si>
    <t xml:space="preserve">1 nếu có điểm</t>
  </si>
  <si>
    <t xml:space="preserve">points &gt; 0</t>
  </si>
  <si>
    <t xml:space="preserve">DNFCount</t>
  </si>
  <si>
    <t xml:space="preserve">1 nếu không được xếp hạng</t>
  </si>
  <si>
    <t xml:space="preserve">FinishClassification ≠ 'Classified'</t>
  </si>
  <si>
    <t xml:space="preserve">HomeRaceCount</t>
  </si>
  <si>
    <t xml:space="preserve">1 nếu đua trên sân nhà</t>
  </si>
  <si>
    <t xml:space="preserve">NationalityCountry = Country</t>
  </si>
  <si>
    <t xml:space="preserve">QualiPosition</t>
  </si>
  <si>
    <t xml:space="preserve">Vị trí phân hạng</t>
  </si>
  <si>
    <t xml:space="preserve">Q1Ms</t>
  </si>
  <si>
    <t xml:space="preserve">Thời gian Q1 (ms)</t>
  </si>
  <si>
    <t xml:space="preserve">etl.fn_TimeToMs</t>
  </si>
  <si>
    <t xml:space="preserve">Q2Ms</t>
  </si>
  <si>
    <t xml:space="preserve">Thời gian Q2 (ms)</t>
  </si>
  <si>
    <t xml:space="preserve">Q3Ms</t>
  </si>
  <si>
    <t xml:space="preserve">Thời gian Q3 (ms)</t>
  </si>
  <si>
    <t xml:space="preserve">BestLapMs</t>
  </si>
  <si>
    <t xml:space="preserve">Vòng tốt nhất trong Q1–Q3</t>
  </si>
  <si>
    <t xml:space="preserve">MIN của 3 phiên</t>
  </si>
  <si>
    <t xml:space="preserve">GapToPoleMs</t>
  </si>
  <si>
    <t xml:space="preserve">Cách pole (ms)</t>
  </si>
  <si>
    <t xml:space="preserve">BestLapMs − MIN(BestLapMs) trong chặng</t>
  </si>
  <si>
    <t xml:space="preserve">GapToPolePct</t>
  </si>
  <si>
    <t xml:space="preserve">Cách pole (%)</t>
  </si>
  <si>
    <t xml:space="preserve">GapToPoleMs / PoleMs × 100</t>
  </si>
  <si>
    <t xml:space="preserve">ReachedQ2Count</t>
  </si>
  <si>
    <t xml:space="preserve">1 nếu vào Q2</t>
  </si>
  <si>
    <t xml:space="preserve">q2 IS NOT NULL</t>
  </si>
  <si>
    <t xml:space="preserve">ReachedQ3Count</t>
  </si>
  <si>
    <t xml:space="preserve">1 nếu vào Q3</t>
  </si>
  <si>
    <t xml:space="preserve">q3 IS NOT NULL</t>
  </si>
  <si>
    <t xml:space="preserve">PositionOnLap</t>
  </si>
  <si>
    <t xml:space="preserve">Vị trí sau vòng</t>
  </si>
  <si>
    <t xml:space="preserve">LapTimeMs</t>
  </si>
  <si>
    <t xml:space="preserve">Thời gian vòng (ms)</t>
  </si>
  <si>
    <t xml:space="preserve">LapNumber</t>
  </si>
  <si>
    <t xml:space="preserve">Vòng vào pit</t>
  </si>
  <si>
    <t xml:space="preserve">PitLaneTimeMs</t>
  </si>
  <si>
    <t xml:space="preserve">Thời gian đi qua pit lane (ms)</t>
  </si>
  <si>
    <t xml:space="preserve">OutlierCount</t>
  </si>
  <si>
    <t xml:space="preserve">1 nếu &gt; 60 giây (cờ đỏ, sửa xe)</t>
  </si>
  <si>
    <t xml:space="preserve">milliseconds &gt; 60000</t>
  </si>
  <si>
    <t xml:space="preserve">StandingPosition</t>
  </si>
  <si>
    <t xml:space="preserve">Hạng hiện tại</t>
  </si>
  <si>
    <t xml:space="preserve">CumulativePoints</t>
  </si>
  <si>
    <t xml:space="preserve">Semi-additive</t>
  </si>
  <si>
    <t xml:space="preserve">Điểm luỹ kế – KHÔNG cộng theo thời gian</t>
  </si>
  <si>
    <t xml:space="preserve">CumulativeWins</t>
  </si>
  <si>
    <t xml:space="preserve">Số trận thắng luỹ kế</t>
  </si>
  <si>
    <t xml:space="preserve">Điểm luỹ kế</t>
  </si>
  <si>
    <t xml:space="preserve">EntrantCount</t>
  </si>
  <si>
    <t xml:space="preserve">Số tay đua tham gia</t>
  </si>
  <si>
    <t xml:space="preserve">COUNT(*)</t>
  </si>
  <si>
    <t xml:space="preserve">ClassifiedCount</t>
  </si>
  <si>
    <t xml:space="preserve">Số tay đua được xếp hạng</t>
  </si>
  <si>
    <t xml:space="preserve">SUM(DNFCount = 0)</t>
  </si>
  <si>
    <t xml:space="preserve">Số tay đua bỏ cuộc</t>
  </si>
  <si>
    <t xml:space="preserve">SUM(DNFCount)</t>
  </si>
  <si>
    <t xml:space="preserve">RaceLaps</t>
  </si>
  <si>
    <t xml:space="preserve">Số vòng của chặng</t>
  </si>
  <si>
    <t xml:space="preserve">MAX(LapsCompleted)</t>
  </si>
  <si>
    <t xml:space="preserve">WinnerRaceTimeMs</t>
  </si>
  <si>
    <t xml:space="preserve">Thời gian của người thắng</t>
  </si>
  <si>
    <t xml:space="preserve">WinningMarginMs</t>
  </si>
  <si>
    <t xml:space="preserve">Cách biệt P1–P2 (ms)</t>
  </si>
  <si>
    <t xml:space="preserve">P2.RaceTimeMs − P1.RaceTimeMs</t>
  </si>
  <si>
    <t xml:space="preserve">PoleLapMs</t>
  </si>
  <si>
    <t xml:space="preserve">Vòng pole (ms)</t>
  </si>
  <si>
    <t xml:space="preserve">BestLapMs của QualiPosition = 1</t>
  </si>
  <si>
    <t xml:space="preserve">PitStopCount</t>
  </si>
  <si>
    <t xml:space="preserve">Tổng số lần vào pit</t>
  </si>
  <si>
    <t xml:space="preserve">COUNT(*); 0 → NULL (chưa có dữ liệu)</t>
  </si>
  <si>
    <t xml:space="preserve">DaysFP1ToRace</t>
  </si>
  <si>
    <t xml:space="preserve">Số ngày từ FP1 tới race</t>
  </si>
  <si>
    <t xml:space="preserve">DATEDIFF(DAY, fp1_date, date)</t>
  </si>
  <si>
    <t xml:space="preserve">PoleConvertedCount</t>
  </si>
  <si>
    <t xml:space="preserve">1 nếu người giành pole thắng</t>
  </si>
  <si>
    <t xml:space="preserve">Pole = Winner</t>
  </si>
  <si>
    <t xml:space="preserve">Số độ đo Additive</t>
  </si>
  <si>
    <t xml:space="preserve">Số độ đo Semi-additive</t>
  </si>
  <si>
    <t xml:space="preserve">Số độ đo Non-additive</t>
  </si>
  <si>
    <t xml:space="preserve">PHÂN CẤP (HIERARCHIES) CHO ROLL-UP / DRILL-DOWN</t>
  </si>
  <si>
    <t xml:space="preserve">Phân cấp (từ tổng quát → chi tiết)</t>
  </si>
  <si>
    <t xml:space="preserve">Ví dụ</t>
  </si>
  <si>
    <t xml:space="preserve">Decade → Year → Quarter → Month → Day</t>
  </si>
  <si>
    <t xml:space="preserve">2020s → 2024 → Q1 → March → 2</t>
  </si>
  <si>
    <t xml:space="preserve">Decade → Season → Round (Race)</t>
  </si>
  <si>
    <t xml:space="preserve">2020s → 2024 → Round 1 Bahrain GP</t>
  </si>
  <si>
    <t xml:space="preserve">Continent → Country → City → Circuit</t>
  </si>
  <si>
    <t xml:space="preserve">Oceania → Australia → Melbourne → Albert Park</t>
  </si>
  <si>
    <t xml:space="preserve">FinishClassification → StatusGroup → Status</t>
  </si>
  <si>
    <t xml:space="preserve">Not classified → Mechanical / Technical → Engine</t>
  </si>
  <si>
    <t xml:space="preserve">NationalityCountry → Nationality → Driver</t>
  </si>
  <si>
    <t xml:space="preserve">UK → British → Lewis Hamilton</t>
  </si>
  <si>
    <t xml:space="preserve">Nationality → Constructor</t>
  </si>
  <si>
    <t xml:space="preserve">British → McLaren</t>
  </si>
  <si>
    <t xml:space="preserve">Loại bảng</t>
  </si>
  <si>
    <t xml:space="preserve">Cột</t>
  </si>
  <si>
    <t xml:space="preserve">Kiểu dữ liệu</t>
  </si>
  <si>
    <t xml:space="preserve">Loại khoá / vai trò</t>
  </si>
  <si>
    <t xml:space="preserve">SCD / Cộng dồn</t>
  </si>
  <si>
    <t xml:space="preserve">Null?</t>
  </si>
  <si>
    <t xml:space="preserve">Nguồn (F1_SOURCE)</t>
  </si>
  <si>
    <t xml:space="preserve">Quy tắc ETL</t>
  </si>
  <si>
    <t xml:space="preserve">DateKey</t>
  </si>
  <si>
    <t xml:space="preserve">PK (smart key)</t>
  </si>
  <si>
    <t xml:space="preserve">N</t>
  </si>
  <si>
    <t xml:space="preserve">Khoá yyyymmdd; -1 = Unknown</t>
  </si>
  <si>
    <t xml:space="preserve">Sinh tự động</t>
  </si>
  <si>
    <t xml:space="preserve">YEAR*10000+MONTH*100+DAY</t>
  </si>
  <si>
    <t xml:space="preserve">20240302</t>
  </si>
  <si>
    <t xml:space="preserve">FullDate</t>
  </si>
  <si>
    <t xml:space="preserve">DATE</t>
  </si>
  <si>
    <t xml:space="preserve">Ngày đầy đủ</t>
  </si>
  <si>
    <t xml:space="preserve">2024-03-02</t>
  </si>
  <si>
    <t xml:space="preserve">Day</t>
  </si>
  <si>
    <t xml:space="preserve">Ngày trong tháng</t>
  </si>
  <si>
    <t xml:space="preserve">DAY(FullDate)</t>
  </si>
  <si>
    <t xml:space="preserve">2</t>
  </si>
  <si>
    <t xml:space="preserve">Month</t>
  </si>
  <si>
    <t xml:space="preserve">Tháng</t>
  </si>
  <si>
    <t xml:space="preserve">MONTH(FullDate)</t>
  </si>
  <si>
    <t xml:space="preserve">MonthName</t>
  </si>
  <si>
    <t xml:space="preserve">NVARCHAR(10)</t>
  </si>
  <si>
    <t xml:space="preserve">Tên tháng</t>
  </si>
  <si>
    <t xml:space="preserve">DATENAME(MONTH)</t>
  </si>
  <si>
    <t xml:space="preserve">March</t>
  </si>
  <si>
    <t xml:space="preserve">Quarter</t>
  </si>
  <si>
    <t xml:space="preserve">Quý</t>
  </si>
  <si>
    <t xml:space="preserve">DATEPART(QUARTER)</t>
  </si>
  <si>
    <t xml:space="preserve">1</t>
  </si>
  <si>
    <t xml:space="preserve">Year</t>
  </si>
  <si>
    <t xml:space="preserve">SMALLINT</t>
  </si>
  <si>
    <t xml:space="preserve">Năm</t>
  </si>
  <si>
    <t xml:space="preserve">YEAR(FullDate)</t>
  </si>
  <si>
    <t xml:space="preserve">2024</t>
  </si>
  <si>
    <t xml:space="preserve">NVARCHAR(7)</t>
  </si>
  <si>
    <t xml:space="preserve">Thập kỷ</t>
  </si>
  <si>
    <t xml:space="preserve">YEAR/10*10 + 's'</t>
  </si>
  <si>
    <t xml:space="preserve">2020s</t>
  </si>
  <si>
    <t xml:space="preserve">DayOfWeek</t>
  </si>
  <si>
    <t xml:space="preserve">Thứ trong tuần (1 = Thứ Hai)</t>
  </si>
  <si>
    <t xml:space="preserve">DATEDIFF(DAY,'19000101',d)%7+1</t>
  </si>
  <si>
    <t xml:space="preserve">6</t>
  </si>
  <si>
    <t xml:space="preserve">DayName</t>
  </si>
  <si>
    <t xml:space="preserve">Tên thứ</t>
  </si>
  <si>
    <t xml:space="preserve">DATENAME(WEEKDAY)</t>
  </si>
  <si>
    <t xml:space="preserve">Saturday</t>
  </si>
  <si>
    <t xml:space="preserve">WeekdayWeekend</t>
  </si>
  <si>
    <t xml:space="preserve">Ngày thường / cuối tuần</t>
  </si>
  <si>
    <t xml:space="preserve">Thứ 7, CN → 'Weekend'</t>
  </si>
  <si>
    <t xml:space="preserve">Weekend</t>
  </si>
  <si>
    <t xml:space="preserve">← Về danh mục bảng</t>
  </si>
  <si>
    <t xml:space="preserve">CircuitKey</t>
  </si>
  <si>
    <t xml:space="preserve">INT IDENTITY</t>
  </si>
  <si>
    <t xml:space="preserve">PK (surrogate)</t>
  </si>
  <si>
    <t xml:space="preserve">Khoá thay thế; -1 = Unknown</t>
  </si>
  <si>
    <t xml:space="preserve">ETL sinh</t>
  </si>
  <si>
    <t xml:space="preserve">IDENTITY</t>
  </si>
  <si>
    <t xml:space="preserve">CircuitID</t>
  </si>
  <si>
    <t xml:space="preserve">NK (natural key)</t>
  </si>
  <si>
    <t xml:space="preserve">Khoá tự nhiên từ nguồn</t>
  </si>
  <si>
    <t xml:space="preserve">F1_SOURCE.dbo.circuits.circuitId</t>
  </si>
  <si>
    <t xml:space="preserve">NVARCHAR(50)</t>
  </si>
  <si>
    <t xml:space="preserve">Mã tham chiếu</t>
  </si>
  <si>
    <t xml:space="preserve">F1_SOURCE.dbo.circuits.circuitRef</t>
  </si>
  <si>
    <t xml:space="preserve">albert_park</t>
  </si>
  <si>
    <t xml:space="preserve">NVARCHAR(100)</t>
  </si>
  <si>
    <t xml:space="preserve">Tên trường đua</t>
  </si>
  <si>
    <t xml:space="preserve">F1_SOURCE.dbo.circuits.name</t>
  </si>
  <si>
    <t xml:space="preserve">Albert Park Grand Prix Circuit</t>
  </si>
  <si>
    <t xml:space="preserve">Thành phố</t>
  </si>
  <si>
    <t xml:space="preserve">F1_SOURCE.dbo.circuits.location</t>
  </si>
  <si>
    <t xml:space="preserve">NULL → 'Unknown'</t>
  </si>
  <si>
    <t xml:space="preserve">Melbourne</t>
  </si>
  <si>
    <t xml:space="preserve">Quốc gia</t>
  </si>
  <si>
    <t xml:space="preserve">F1_SOURCE.dbo.circuits.country</t>
  </si>
  <si>
    <t xml:space="preserve">'United States' → 'USA'</t>
  </si>
  <si>
    <t xml:space="preserve">Australia</t>
  </si>
  <si>
    <t xml:space="preserve">NVARCHAR(20)</t>
  </si>
  <si>
    <t xml:space="preserve">Châu lục (làm giàu)</t>
  </si>
  <si>
    <t xml:space="preserve">etl.MapCountryContinent</t>
  </si>
  <si>
    <t xml:space="preserve">Không có trong bảng tra → 'Europe'</t>
  </si>
  <si>
    <t xml:space="preserve">Oceania</t>
  </si>
  <si>
    <t xml:space="preserve">DECIMAL(9,5)</t>
  </si>
  <si>
    <t xml:space="preserve">Y</t>
  </si>
  <si>
    <t xml:space="preserve">Vĩ độ</t>
  </si>
  <si>
    <t xml:space="preserve">F1_SOURCE.dbo.circuits.lat</t>
  </si>
  <si>
    <t xml:space="preserve">-37.84970</t>
  </si>
  <si>
    <t xml:space="preserve">Kinh độ</t>
  </si>
  <si>
    <t xml:space="preserve">F1_SOURCE.dbo.circuits.lng</t>
  </si>
  <si>
    <t xml:space="preserve">144.96800</t>
  </si>
  <si>
    <t xml:space="preserve">Độ cao (m)</t>
  </si>
  <si>
    <t xml:space="preserve">F1_SOURCE.dbo.circuits.alt</t>
  </si>
  <si>
    <t xml:space="preserve">10</t>
  </si>
  <si>
    <t xml:space="preserve">RowInsertedAt</t>
  </si>
  <si>
    <t xml:space="preserve">DATETIME2(0)</t>
  </si>
  <si>
    <t xml:space="preserve">Audit</t>
  </si>
  <si>
    <t xml:space="preserve">Thời điểm thêm dòng</t>
  </si>
  <si>
    <t xml:space="preserve">ETL</t>
  </si>
  <si>
    <t xml:space="preserve">SYSDATETIME()</t>
  </si>
  <si>
    <t xml:space="preserve">RowUpdatedAt</t>
  </si>
  <si>
    <t xml:space="preserve">Thời điểm cập nhật gần nhất</t>
  </si>
  <si>
    <t xml:space="preserve">RaceKey</t>
  </si>
  <si>
    <t xml:space="preserve">RaceID</t>
  </si>
  <si>
    <t xml:space="preserve">NK</t>
  </si>
  <si>
    <t xml:space="preserve">Khoá tự nhiên</t>
  </si>
  <si>
    <t xml:space="preserve">F1_SOURCE.dbo.races.raceId</t>
  </si>
  <si>
    <t xml:space="preserve">1121</t>
  </si>
  <si>
    <t xml:space="preserve">Tên chặng</t>
  </si>
  <si>
    <t xml:space="preserve">F1_SOURCE.dbo.races.name</t>
  </si>
  <si>
    <t xml:space="preserve">Bahrain Grand Prix</t>
  </si>
  <si>
    <t xml:space="preserve">Mùa giải</t>
  </si>
  <si>
    <t xml:space="preserve">F1_SOURCE.dbo.races.year</t>
  </si>
  <si>
    <t xml:space="preserve">year/10*10 + 's'</t>
  </si>
  <si>
    <t xml:space="preserve">Vòng thứ mấy trong mùa</t>
  </si>
  <si>
    <t xml:space="preserve">F1_SOURCE.dbo.races.round</t>
  </si>
  <si>
    <t xml:space="preserve">Tổng số vòng của mùa (dẫn xuất)</t>
  </si>
  <si>
    <t xml:space="preserve">F1_SOURCE.dbo.races</t>
  </si>
  <si>
    <t xml:space="preserve">MAX(round) OVER (PARTITION BY year)</t>
  </si>
  <si>
    <t xml:space="preserve">24</t>
  </si>
  <si>
    <t xml:space="preserve">NVARCHAR(3)</t>
  </si>
  <si>
    <t xml:space="preserve">Chặng cuối mùa? (dẫn xuất)</t>
  </si>
  <si>
    <t xml:space="preserve">round = RoundsInSeason → 'Yes'</t>
  </si>
  <si>
    <t xml:space="preserve">No</t>
  </si>
  <si>
    <t xml:space="preserve">Ngày đua</t>
  </si>
  <si>
    <t xml:space="preserve">F1_SOURCE.dbo.races.date</t>
  </si>
  <si>
    <t xml:space="preserve">TIME(0)</t>
  </si>
  <si>
    <t xml:space="preserve">Giờ xuất phát (UTC)</t>
  </si>
  <si>
    <t xml:space="preserve">F1_SOURCE.dbo.races.time</t>
  </si>
  <si>
    <t xml:space="preserve">15:00:00</t>
  </si>
  <si>
    <t xml:space="preserve">Thể thức cuối tuần (dẫn xuất)</t>
  </si>
  <si>
    <t xml:space="preserve">F1_SOURCE.dbo.races + sprint_results</t>
  </si>
  <si>
    <t xml:space="preserve">Có sprint → 'Sprint' ngược lại 'Standard'</t>
  </si>
  <si>
    <t xml:space="preserve">Standard</t>
  </si>
  <si>
    <t xml:space="preserve">DriverKey</t>
  </si>
  <si>
    <t xml:space="preserve">Khoá thay thế – mỗi phiên bản 1 khoá; -1 = Unknown</t>
  </si>
  <si>
    <t xml:space="preserve">DriverID</t>
  </si>
  <si>
    <t xml:space="preserve">NK / Durable key</t>
  </si>
  <si>
    <t xml:space="preserve">Khoá bền, không đổi qua các phiên bản</t>
  </si>
  <si>
    <t xml:space="preserve">F1_SOURCE.dbo.drivers.driverId</t>
  </si>
  <si>
    <t xml:space="preserve">F1_SOURCE.dbo.drivers.driverRef</t>
  </si>
  <si>
    <t xml:space="preserve">hamilton</t>
  </si>
  <si>
    <t xml:space="preserve">Mã 3 ký tự</t>
  </si>
  <si>
    <t xml:space="preserve">F1_SOURCE.dbo.drivers.code</t>
  </si>
  <si>
    <t xml:space="preserve">NULL → 'N/A'</t>
  </si>
  <si>
    <t xml:space="preserve">HAM</t>
  </si>
  <si>
    <t xml:space="preserve">Số xe cố định</t>
  </si>
  <si>
    <t xml:space="preserve">F1_SOURCE.dbo.drivers.number</t>
  </si>
  <si>
    <t xml:space="preserve">44</t>
  </si>
  <si>
    <t xml:space="preserve">Tên</t>
  </si>
  <si>
    <t xml:space="preserve">F1_SOURCE.dbo.drivers.forename</t>
  </si>
  <si>
    <t xml:space="preserve">Lewis</t>
  </si>
  <si>
    <t xml:space="preserve">Họ</t>
  </si>
  <si>
    <t xml:space="preserve">F1_SOURCE.dbo.drivers.surname</t>
  </si>
  <si>
    <t xml:space="preserve">Hamilton</t>
  </si>
  <si>
    <t xml:space="preserve">NVARCHAR(101)</t>
  </si>
  <si>
    <t xml:space="preserve">Họ tên đầy đủ (dẫn xuất)</t>
  </si>
  <si>
    <t xml:space="preserve">F1_SOURCE.dbo.drivers</t>
  </si>
  <si>
    <t xml:space="preserve">forename + ' ' + surname</t>
  </si>
  <si>
    <t xml:space="preserve">Lewis Hamilton</t>
  </si>
  <si>
    <t xml:space="preserve">Ngày sinh</t>
  </si>
  <si>
    <t xml:space="preserve">F1_SOURCE.dbo.drivers.dob</t>
  </si>
  <si>
    <t xml:space="preserve">1985-01-07</t>
  </si>
  <si>
    <t xml:space="preserve">Quốc tịch</t>
  </si>
  <si>
    <t xml:space="preserve">F1_SOURCE.dbo.drivers.nationality</t>
  </si>
  <si>
    <t xml:space="preserve">LTRIM/RTRIM</t>
  </si>
  <si>
    <t xml:space="preserve">British</t>
  </si>
  <si>
    <t xml:space="preserve">Quốc gia của quốc tịch (làm giàu)</t>
  </si>
  <si>
    <t xml:space="preserve">etl.MapNationalityCountry</t>
  </si>
  <si>
    <t xml:space="preserve">Dùng tính HomeRaceCount</t>
  </si>
  <si>
    <t xml:space="preserve">UK</t>
  </si>
  <si>
    <t xml:space="preserve">RowEffectiveDate</t>
  </si>
  <si>
    <t xml:space="preserve">SCD2</t>
  </si>
  <si>
    <t xml:space="preserve">Ngày bắt đầu hiệu lực</t>
  </si>
  <si>
    <t xml:space="preserve">Dòng đầu tiên: 1900-01-01; phiên bản mới: ngày chạy ETL</t>
  </si>
  <si>
    <t xml:space="preserve">1900-01-01</t>
  </si>
  <si>
    <t xml:space="preserve">RowExpirationDate</t>
  </si>
  <si>
    <t xml:space="preserve">Ngày hết hiệu lực</t>
  </si>
  <si>
    <t xml:space="preserve">Dòng hiện hành: 9999-12-31</t>
  </si>
  <si>
    <t xml:space="preserve">9999-12-31</t>
  </si>
  <si>
    <t xml:space="preserve">IsCurrentRow</t>
  </si>
  <si>
    <t xml:space="preserve">Dòng hiện hành?</t>
  </si>
  <si>
    <t xml:space="preserve">'Current' / 'Expired'</t>
  </si>
  <si>
    <t xml:space="preserve">Current</t>
  </si>
  <si>
    <t xml:space="preserve">ConstructorKey</t>
  </si>
  <si>
    <t xml:space="preserve">ConstructorID</t>
  </si>
  <si>
    <t xml:space="preserve">Khoá bền</t>
  </si>
  <si>
    <t xml:space="preserve">F1_SOURCE.dbo.constructors.constructorId</t>
  </si>
  <si>
    <t xml:space="preserve">F1_SOURCE.dbo.constructors.constructorRef</t>
  </si>
  <si>
    <t xml:space="preserve">mclaren</t>
  </si>
  <si>
    <t xml:space="preserve">Tên đội</t>
  </si>
  <si>
    <t xml:space="preserve">F1_SOURCE.dbo.constructors.name</t>
  </si>
  <si>
    <t xml:space="preserve">McLaren</t>
  </si>
  <si>
    <t xml:space="preserve">Quốc tịch đội</t>
  </si>
  <si>
    <t xml:space="preserve">F1_SOURCE.dbo.constructors.nationality</t>
  </si>
  <si>
    <t xml:space="preserve">StatusKey</t>
  </si>
  <si>
    <t xml:space="preserve">StatusID</t>
  </si>
  <si>
    <t xml:space="preserve">F1_SOURCE.dbo.status.statusId</t>
  </si>
  <si>
    <t xml:space="preserve">Mô tả trạng thái</t>
  </si>
  <si>
    <t xml:space="preserve">F1_SOURCE.dbo.status.status</t>
  </si>
  <si>
    <t xml:space="preserve">Finished</t>
  </si>
  <si>
    <t xml:space="preserve">NVARCHAR(40)</t>
  </si>
  <si>
    <t xml:space="preserve">Nhóm trạng thái (8 nhóm, dẫn xuất)</t>
  </si>
  <si>
    <t xml:space="preserve">CASE theo từ khoá (Engine → Mechanical…)</t>
  </si>
  <si>
    <t xml:space="preserve">Được xếp hạng hoàn thành?</t>
  </si>
  <si>
    <t xml:space="preserve">Finished / Finished (lapped) → 'Classified'</t>
  </si>
  <si>
    <t xml:space="preserve">Classified</t>
  </si>
  <si>
    <t xml:space="preserve">SessionTypeKey</t>
  </si>
  <si>
    <t xml:space="preserve">PK</t>
  </si>
  <si>
    <t xml:space="preserve">1 = Grand Prix, 2 = Sprint, -1 = Unknown</t>
  </si>
  <si>
    <t xml:space="preserve">Nạp tay (DDL)</t>
  </si>
  <si>
    <t xml:space="preserve">SessionType</t>
  </si>
  <si>
    <t xml:space="preserve">Tên loại phiên</t>
  </si>
  <si>
    <t xml:space="preserve">Nạp tay</t>
  </si>
  <si>
    <t xml:space="preserve">Grand Prix</t>
  </si>
  <si>
    <t xml:space="preserve">PointsSystem</t>
  </si>
  <si>
    <t xml:space="preserve">Mô tả hệ thống điểm</t>
  </si>
  <si>
    <t xml:space="preserve">Full points (25-18-15-...)</t>
  </si>
  <si>
    <t xml:space="preserve">AuditKey</t>
  </si>
  <si>
    <t xml:space="preserve">Khoá lô ETL; -1 = Unknown</t>
  </si>
  <si>
    <t xml:space="preserve">EtlBatchName</t>
  </si>
  <si>
    <t xml:space="preserve">Tên lô</t>
  </si>
  <si>
    <t xml:space="preserve">etl.usp_Run_ETL</t>
  </si>
  <si>
    <t xml:space="preserve">F1 incremental load</t>
  </si>
  <si>
    <t xml:space="preserve">SourceSystem</t>
  </si>
  <si>
    <t xml:space="preserve">Hệ thống nguồn</t>
  </si>
  <si>
    <t xml:space="preserve">F1_SOURCE</t>
  </si>
  <si>
    <t xml:space="preserve">BatchStartTime</t>
  </si>
  <si>
    <t xml:space="preserve">Bắt đầu</t>
  </si>
  <si>
    <t xml:space="preserve">BatchEndTime</t>
  </si>
  <si>
    <t xml:space="preserve">Kết thúc</t>
  </si>
  <si>
    <t xml:space="preserve">BatchStatus</t>
  </si>
  <si>
    <t xml:space="preserve">Running / Succeeded / Failed</t>
  </si>
  <si>
    <t xml:space="preserve">Succeeded</t>
  </si>
  <si>
    <t xml:space="preserve">RowsInserted</t>
  </si>
  <si>
    <t xml:space="preserve">Tổng dòng fact thêm/cập nhật</t>
  </si>
  <si>
    <t xml:space="preserve">686319</t>
  </si>
  <si>
    <t xml:space="preserve">ErrorMessage</t>
  </si>
  <si>
    <t xml:space="preserve">NVARCHAR(4000)</t>
  </si>
  <si>
    <t xml:space="preserve">Thông báo lỗi nếu thất bại</t>
  </si>
  <si>
    <t xml:space="preserve">ERROR_MESSAGE()</t>
  </si>
  <si>
    <t xml:space="preserve">Fact – Transaction</t>
  </si>
  <si>
    <t xml:space="preserve">RaceResultKey</t>
  </si>
  <si>
    <t xml:space="preserve">BIGINT IDENTITY</t>
  </si>
  <si>
    <t xml:space="preserve">Khoá dòng fact</t>
  </si>
  <si>
    <t xml:space="preserve">RaceDateKey</t>
  </si>
  <si>
    <t xml:space="preserve">FK → DimDate</t>
  </si>
  <si>
    <t xml:space="preserve">Tra khoá thay thế</t>
  </si>
  <si>
    <t xml:space="preserve">Không thấy → -1</t>
  </si>
  <si>
    <t xml:space="preserve">FK → DimRace</t>
  </si>
  <si>
    <t xml:space="preserve">Khoá ngoại tới DimRace</t>
  </si>
  <si>
    <t xml:space="preserve">FK → DimCircuit</t>
  </si>
  <si>
    <t xml:space="preserve">Khoá ngoại tới DimCircuit</t>
  </si>
  <si>
    <t xml:space="preserve">FK → DimDriver</t>
  </si>
  <si>
    <t xml:space="preserve">Tay đua (phiên bản đúng tại ngày đua)</t>
  </si>
  <si>
    <t xml:space="preserve">results.driverId</t>
  </si>
  <si>
    <t xml:space="preserve">Point-in-time: RaceDate BETWEEN RowEffectiveDate AND RowExpirationDate</t>
  </si>
  <si>
    <t xml:space="preserve">FK → DimConstructor</t>
  </si>
  <si>
    <t xml:space="preserve">Đội đua (point-in-time)</t>
  </si>
  <si>
    <t xml:space="preserve">results.constructorId</t>
  </si>
  <si>
    <t xml:space="preserve">Point-in-time lookup</t>
  </si>
  <si>
    <t xml:space="preserve">FK → DimStatus</t>
  </si>
  <si>
    <t xml:space="preserve">Khoá ngoại tới DimStatus</t>
  </si>
  <si>
    <t xml:space="preserve">FK → DimSessionType</t>
  </si>
  <si>
    <t xml:space="preserve">1 = results, 2 = sprint_results</t>
  </si>
  <si>
    <t xml:space="preserve">FK → DimAudit</t>
  </si>
  <si>
    <t xml:space="preserve">Lô ETL đã nạp dòng</t>
  </si>
  <si>
    <t xml:space="preserve">ResultID</t>
  </si>
  <si>
    <t xml:space="preserve">DD (degenerate)</t>
  </si>
  <si>
    <t xml:space="preserve">Mã kết quả nguồn</t>
  </si>
  <si>
    <t xml:space="preserve">results.resultId / sprint_results.resultId</t>
  </si>
  <si>
    <t xml:space="preserve">UNIQUE(SessionTypeKey, ResultID) – dùng kiểm tra trùng khi nạp tăng dần</t>
  </si>
  <si>
    <t xml:space="preserve">CarNumber</t>
  </si>
  <si>
    <t xml:space="preserve">DD</t>
  </si>
  <si>
    <t xml:space="preserve">Số xe trong chặng</t>
  </si>
  <si>
    <t xml:space="preserve">results.number</t>
  </si>
  <si>
    <t xml:space="preserve">Measure</t>
  </si>
  <si>
    <t xml:space="preserve">results.grid</t>
  </si>
  <si>
    <t xml:space="preserve">results.position</t>
  </si>
  <si>
    <t xml:space="preserve">results.positionOrder</t>
  </si>
  <si>
    <t xml:space="preserve">results.points</t>
  </si>
  <si>
    <t xml:space="preserve">25.00</t>
  </si>
  <si>
    <t xml:space="preserve">results.laps</t>
  </si>
  <si>
    <t xml:space="preserve">57</t>
  </si>
  <si>
    <t xml:space="preserve">results.milliseconds</t>
  </si>
  <si>
    <t xml:space="preserve">results.fastestLap</t>
  </si>
  <si>
    <t xml:space="preserve">results.rank</t>
  </si>
  <si>
    <t xml:space="preserve">results.fastestLapTime</t>
  </si>
  <si>
    <t xml:space="preserve">92608</t>
  </si>
  <si>
    <t xml:space="preserve">results.fastestLapSpeed</t>
  </si>
  <si>
    <t xml:space="preserve">drivers.dob + races.date</t>
  </si>
  <si>
    <t xml:space="preserve">39.2</t>
  </si>
  <si>
    <t xml:space="preserve">grid, positionOrder</t>
  </si>
  <si>
    <t xml:space="preserve">Measure (indicator)</t>
  </si>
  <si>
    <t xml:space="preserve">0</t>
  </si>
  <si>
    <t xml:space="preserve">DimDriver, DimCircuit</t>
  </si>
  <si>
    <t xml:space="preserve">QualifyingKey</t>
  </si>
  <si>
    <t xml:space="preserve">Khoá ngoại tới DimDate</t>
  </si>
  <si>
    <t xml:space="preserve">Khoá ngoại tới DimAudit</t>
  </si>
  <si>
    <t xml:space="preserve">QualifyID</t>
  </si>
  <si>
    <t xml:space="preserve">Mã phân hạng nguồn (UNIQUE)</t>
  </si>
  <si>
    <t xml:space="preserve">qualifying.qualifyId</t>
  </si>
  <si>
    <t xml:space="preserve">qualifying.position</t>
  </si>
  <si>
    <t xml:space="preserve">qualifying.q1</t>
  </si>
  <si>
    <t xml:space="preserve">89708</t>
  </si>
  <si>
    <t xml:space="preserve">qualifying.q2</t>
  </si>
  <si>
    <t xml:space="preserve">qualifying.q3</t>
  </si>
  <si>
    <t xml:space="preserve">Q1Ms, Q2Ms, Q3Ms</t>
  </si>
  <si>
    <t xml:space="preserve">q2</t>
  </si>
  <si>
    <t xml:space="preserve">q3</t>
  </si>
  <si>
    <t xml:space="preserve">PK, FK → DimRace</t>
  </si>
  <si>
    <t xml:space="preserve">Chặng</t>
  </si>
  <si>
    <t xml:space="preserve">lap_times.raceId</t>
  </si>
  <si>
    <t xml:space="preserve">Tra khoá</t>
  </si>
  <si>
    <t xml:space="preserve">PK, FK → DimDriver</t>
  </si>
  <si>
    <t xml:space="preserve">Tay đua (point-in-time)</t>
  </si>
  <si>
    <t xml:space="preserve">lap_times.driverId</t>
  </si>
  <si>
    <t xml:space="preserve">Đội đua – không có trong nguồn</t>
  </si>
  <si>
    <t xml:space="preserve">results (raceId, driverId)</t>
  </si>
  <si>
    <t xml:space="preserve">Tra đội từ results theo cặp chặng + tay đua</t>
  </si>
  <si>
    <t xml:space="preserve">PK, DD</t>
  </si>
  <si>
    <t xml:space="preserve">Số thứ tự vòng</t>
  </si>
  <si>
    <t xml:space="preserve">lap_times.lap</t>
  </si>
  <si>
    <t xml:space="preserve">lap_times.position</t>
  </si>
  <si>
    <t xml:space="preserve">lap_times.milliseconds</t>
  </si>
  <si>
    <t xml:space="preserve">98109</t>
  </si>
  <si>
    <t xml:space="preserve">pit_stops.raceId</t>
  </si>
  <si>
    <t xml:space="preserve">Tay đua</t>
  </si>
  <si>
    <t xml:space="preserve">pit_stops.driverId</t>
  </si>
  <si>
    <t xml:space="preserve">Đội đua</t>
  </si>
  <si>
    <t xml:space="preserve">Tra đội từ results</t>
  </si>
  <si>
    <t xml:space="preserve">StopNumber</t>
  </si>
  <si>
    <t xml:space="preserve">Lần vào pit thứ mấy</t>
  </si>
  <si>
    <t xml:space="preserve">pit_stops.stop</t>
  </si>
  <si>
    <t xml:space="preserve">pit_stops.lap</t>
  </si>
  <si>
    <t xml:space="preserve">14</t>
  </si>
  <si>
    <t xml:space="preserve">StopTimeOfDay</t>
  </si>
  <si>
    <t xml:space="preserve">Attribute</t>
  </si>
  <si>
    <t xml:space="preserve">Giờ vào pit</t>
  </si>
  <si>
    <t xml:space="preserve">pit_stops.time</t>
  </si>
  <si>
    <t xml:space="preserve">17:05:23</t>
  </si>
  <si>
    <t xml:space="preserve">pit_stops.milliseconds</t>
  </si>
  <si>
    <t xml:space="preserve">23606</t>
  </si>
  <si>
    <t xml:space="preserve">Fact – Periodic snapshot</t>
  </si>
  <si>
    <t xml:space="preserve">Chặng (thời điểm chụp)</t>
  </si>
  <si>
    <t xml:space="preserve">driver_standings.raceId</t>
  </si>
  <si>
    <t xml:space="preserve">driver_standings.driverId</t>
  </si>
  <si>
    <t xml:space="preserve">driver_standings.position</t>
  </si>
  <si>
    <t xml:space="preserve">driver_standings.points</t>
  </si>
  <si>
    <t xml:space="preserve">437.00</t>
  </si>
  <si>
    <t xml:space="preserve">driver_standings.wins</t>
  </si>
  <si>
    <t xml:space="preserve">9</t>
  </si>
  <si>
    <t xml:space="preserve">constructor_standings.raceId</t>
  </si>
  <si>
    <t xml:space="preserve">PK, FK → DimConstructor</t>
  </si>
  <si>
    <t xml:space="preserve">constructor_standings.constructorId</t>
  </si>
  <si>
    <t xml:space="preserve">constructor_standings.position</t>
  </si>
  <si>
    <t xml:space="preserve">constructor_standings.points</t>
  </si>
  <si>
    <t xml:space="preserve">666.00</t>
  </si>
  <si>
    <t xml:space="preserve">constructor_standings.wins</t>
  </si>
  <si>
    <t xml:space="preserve">Fact – Accumulating snapshot</t>
  </si>
  <si>
    <t xml:space="preserve">races.raceId</t>
  </si>
  <si>
    <t xml:space="preserve">FP1DateKey</t>
  </si>
  <si>
    <t xml:space="preserve">FK → DimDate (vai FP1)</t>
  </si>
  <si>
    <t xml:space="preserve">Ngày tập FP1 – role-playing</t>
  </si>
  <si>
    <t xml:space="preserve">races.fp1_date</t>
  </si>
  <si>
    <t xml:space="preserve">NULL → -1</t>
  </si>
  <si>
    <t xml:space="preserve">QualifyingDateKey</t>
  </si>
  <si>
    <t xml:space="preserve">FK → DimDate (vai Quali)</t>
  </si>
  <si>
    <t xml:space="preserve">Ngày phân hạng – role-playing</t>
  </si>
  <si>
    <t xml:space="preserve">races.quali_date</t>
  </si>
  <si>
    <t xml:space="preserve">SprintDateKey</t>
  </si>
  <si>
    <t xml:space="preserve">FK → DimDate (vai Sprint)</t>
  </si>
  <si>
    <t xml:space="preserve">Ngày sprint – role-playing</t>
  </si>
  <si>
    <t xml:space="preserve">races.sprint_date</t>
  </si>
  <si>
    <t xml:space="preserve">FK → DimDate (vai Race)</t>
  </si>
  <si>
    <t xml:space="preserve">Ngày đua – role-playing</t>
  </si>
  <si>
    <t xml:space="preserve">races.date</t>
  </si>
  <si>
    <t xml:space="preserve">PoleSitterDriverKey</t>
  </si>
  <si>
    <t xml:space="preserve">FK → DimDriver (vai Pole)</t>
  </si>
  <si>
    <t xml:space="preserve">Người xuất phát đầu – role-playing</t>
  </si>
  <si>
    <t xml:space="preserve">GridPosition = 1</t>
  </si>
  <si>
    <t xml:space="preserve">WinnerDriverKey</t>
  </si>
  <si>
    <t xml:space="preserve">FK → DimDriver (vai Winner)</t>
  </si>
  <si>
    <t xml:space="preserve">Người thắng – role-playing</t>
  </si>
  <si>
    <t xml:space="preserve">FinishPosition = 1</t>
  </si>
  <si>
    <t xml:space="preserve">FastestLapDriverKey</t>
  </si>
  <si>
    <t xml:space="preserve">FK → DimDriver (vai Fastest lap)</t>
  </si>
  <si>
    <t xml:space="preserve">Người có vòng nhanh nhất – role-playing</t>
  </si>
  <si>
    <t xml:space="preserve">FastestLapRank = 1</t>
  </si>
  <si>
    <t xml:space="preserve">WinnerConstructorKey</t>
  </si>
  <si>
    <t xml:space="preserve">Đội thắng</t>
  </si>
  <si>
    <t xml:space="preserve">Lô ETL cập nhật gần nhất</t>
  </si>
  <si>
    <t xml:space="preserve">20</t>
  </si>
  <si>
    <t xml:space="preserve">18</t>
  </si>
  <si>
    <t xml:space="preserve">Measure (lag)</t>
  </si>
  <si>
    <t xml:space="preserve">races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</si>
</sst>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<Relationship Id="rId2" Type="http://schemas.openxmlformats.org/officeDocument/2006/relationships/hyperlink" Target="F1_DWH_Kimball_Design.xlsx" TargetMode="External"/><Relationship Id="rId3" Type="http://schemas.openxmlformats.org/officeDocument/2006/relationships/hyperlink" Target="F1_DWH_Kimball_Design.xlsx" TargetMode="External"/><Relationship Id="rId4" Type="http://schemas.openxmlformats.org/officeDocument/2006/relationships/hyperlink" Target="F1_DWH_Kimball_Design.xlsx" TargetMode="External"/><Relationship Id="rId5" Type="http://schemas.openxmlformats.org/officeDocument/2006/relationships/hyperlink" Target="F1_DWH_Kimball_Design.xlsx" TargetMode="External"/><Relationship Id="rId6" Type="http://schemas.openxmlformats.org/officeDocument/2006/relationships/hyperlink" Target="F1_DWH_Kimball_Design.xlsx" TargetMode="External"/><Relationship Id="rId7" Type="http://schemas.openxmlformats.org/officeDocument/2006/relationships/hyperlink" Target="F1_DWH_Kimball_Design.xlsx" TargetMode="External"/><Relationship Id="rId8" Type="http://schemas.openxmlformats.org/officeDocument/2006/relationships/hyperlink" Target="F1_DWH_Kimball_Design.xlsx" TargetMode="External"/><Relationship Id="rId9" Type="http://schemas.openxmlformats.org/officeDocument/2006/relationships/hyperlink" Target="F1_DWH_Kimball_Design.xlsx" TargetMode="External"/><Relationship Id="rId10" Type="http://schemas.openxmlformats.org/officeDocument/2006/relationships/hyperlink" Target="F1_DWH_Kimball_Design.xlsx" TargetMode="External"/><Relationship Id="rId11" Type="http://schemas.openxmlformats.org/officeDocument/2006/relationships/hyperlink" Target="F1_DWH_Kimball_Design.xlsx" TargetMode="External"/><Relationship Id="rId12" Type="http://schemas.openxmlformats.org/officeDocument/2006/relationships/hyperlink" Target="F1_DWH_Kimball_Design.xlsx" TargetMode="External"/><Relationship Id="rId13" Type="http://schemas.openxmlformats.org/officeDocument/2006/relationships/hyperlink" Target="F1_DWH_Kimball_Design.xlsx" TargetMode="External"/><Relationship Id="rId14" Type="http://schemas.openxmlformats.org/officeDocument/2006/relationships/hyperlink" Target="F1_DWH_Kimball_Design.xlsx" TargetMode="External"/><Relationship Id="rId15" Type="http://schemas.openxmlformats.org/officeDocument/2006/relationships/hyperlink" Target="F1_DWH_Kimball_Design.xlsx" TargetMode="External"/><Relationship Id="rId16" Type="http://schemas.openxmlformats.org/officeDocument/2006/relationships/hyperlink" Target="F1_DWH_Kimball_Design.xlsx" TargetMode="External"/><Relationship Id="rId17" Type="http://schemas.openxmlformats.org/officeDocument/2006/relationships/hyperlink" Target="F1_DWH_Kimball_Design.xlsx" TargetMode="External"/><Relationship Id="rId18" Type="http://schemas.openxmlformats.org/officeDocument/2006/relationships/hyperlink" Target="F1_DWH_Kimball_Design.xlsx" TargetMode="External"/><Relationship Id="rId19" Type="http://schemas.openxmlformats.org/officeDocument/2006/relationships/hyperlink" Target="F1_DWH_Kimball_Design.xlsx" TargetMode="External"/><Relationship Id="rId20" Type="http://schemas.openxmlformats.org/officeDocument/2006/relationships/hyperlink" Target="F1_DWH_Kimball_Design.xlsx" TargetMode="External"/><Relationship Id="rId21" Type="http://schemas.openxmlformats.org/officeDocument/2006/relationships/hyperlink" Target="F1_DWH_Kimball_Design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<Relationship Id="rId2" Type="http://schemas.openxmlformats.org/officeDocument/2006/relationships/hyperlink" Target="F1_DWH_Kimball_Design.xlsx" TargetMode="External"/><Relationship Id="rId3" Type="http://schemas.openxmlformats.org/officeDocument/2006/relationships/hyperlink" Target="F1_DWH_Kimball_Design.xlsx" TargetMode="External"/><Relationship Id="rId4" Type="http://schemas.openxmlformats.org/officeDocument/2006/relationships/hyperlink" Target="F1_DWH_Kimball_Design.xlsx" TargetMode="External"/><Relationship Id="rId5" Type="http://schemas.openxmlformats.org/officeDocument/2006/relationships/hyperlink" Target="F1_DWH_Kimball_Design.xlsx" TargetMode="External"/><Relationship Id="rId6" Type="http://schemas.openxmlformats.org/officeDocument/2006/relationships/hyperlink" Target="F1_DWH_Kimball_Design.xlsx" TargetMode="External"/><Relationship Id="rId7" Type="http://schemas.openxmlformats.org/officeDocument/2006/relationships/hyperlink" Target="F1_DWH_Kimball_Design.xlsx" TargetMode="External"/><Relationship Id="rId8" Type="http://schemas.openxmlformats.org/officeDocument/2006/relationships/hyperlink" Target="F1_DWH_Kimball_Design.xlsx" TargetMode="External"/><Relationship Id="rId9" Type="http://schemas.openxmlformats.org/officeDocument/2006/relationships/hyperlink" Target="F1_DWH_Kimball_Design.xlsx" TargetMode="External"/><Relationship Id="rId10" Type="http://schemas.openxmlformats.org/officeDocument/2006/relationships/hyperlink" Target="F1_DWH_Kimball_Design.xlsx" TargetMode="External"/><Relationship Id="rId11" Type="http://schemas.openxmlformats.org/officeDocument/2006/relationships/hyperlink" Target="F1_DWH_Kimball_Design.xlsx" TargetMode="External"/><Relationship Id="rId12" Type="http://schemas.openxmlformats.org/officeDocument/2006/relationships/hyperlink" Target="F1_DWH_Kimball_Design.xlsx" TargetMode="External"/><Relationship Id="rId13" Type="http://schemas.openxmlformats.org/officeDocument/2006/relationships/hyperlink" Target="F1_DWH_Kimball_Design.xlsx" TargetMode="External"/><Relationship Id="rId14" Type="http://schemas.openxmlformats.org/officeDocument/2006/relationships/hyperlink" Target="F1_DWH_Kimball_Design.xlsx" TargetMode="External"/><Relationship Id="rId15" Type="http://schemas.openxmlformats.org/officeDocument/2006/relationships/hyperlink" Target="F1_DWH_Kimball_Design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F1_DWH_Kimball_Design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23.8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4" t="s">
        <v>22</v>
      </c>
      <c r="B14" s="4" t="s">
        <v>23</v>
      </c>
    </row>
    <row r="15" customFormat="false" ht="15" hidden="false" customHeight="false" outlineLevel="0" collapsed="false">
      <c r="A15" s="4" t="s">
        <v>24</v>
      </c>
      <c r="B15" s="4" t="s">
        <v>25</v>
      </c>
    </row>
    <row r="18" customFormat="false" ht="15" hidden="false" customHeight="false" outlineLevel="0" collapsed="false">
      <c r="A18" s="5" t="s">
        <v>26</v>
      </c>
    </row>
    <row r="19" customFormat="false" ht="15" hidden="false" customHeight="false" outlineLevel="0" collapsed="false">
      <c r="A19" s="3" t="s">
        <v>27</v>
      </c>
      <c r="B19" s="3" t="s">
        <v>3</v>
      </c>
    </row>
    <row r="20" customFormat="false" ht="15" hidden="false" customHeight="false" outlineLevel="0" collapsed="false">
      <c r="A20" s="6" t="s">
        <v>28</v>
      </c>
      <c r="B20" s="4" t="s">
        <v>29</v>
      </c>
    </row>
    <row r="21" customFormat="false" ht="15" hidden="false" customHeight="false" outlineLevel="0" collapsed="false">
      <c r="A21" s="6" t="s">
        <v>30</v>
      </c>
      <c r="B21" s="4" t="s">
        <v>31</v>
      </c>
    </row>
    <row r="22" customFormat="false" ht="15" hidden="false" customHeight="false" outlineLevel="0" collapsed="false">
      <c r="A22" s="6" t="s">
        <v>32</v>
      </c>
      <c r="B22" s="4" t="s">
        <v>33</v>
      </c>
    </row>
    <row r="23" customFormat="false" ht="15" hidden="false" customHeight="false" outlineLevel="0" collapsed="false">
      <c r="A23" s="6" t="s">
        <v>34</v>
      </c>
      <c r="B23" s="4" t="s">
        <v>35</v>
      </c>
    </row>
    <row r="24" customFormat="false" ht="15" hidden="false" customHeight="false" outlineLevel="0" collapsed="false">
      <c r="A24" s="6" t="s">
        <v>36</v>
      </c>
      <c r="B24" s="4" t="s">
        <v>37</v>
      </c>
    </row>
    <row r="25" customFormat="false" ht="15" hidden="false" customHeight="false" outlineLevel="0" collapsed="false">
      <c r="A25" s="6" t="s">
        <v>38</v>
      </c>
      <c r="B25" s="4" t="s">
        <v>39</v>
      </c>
    </row>
    <row r="26" customFormat="false" ht="15" hidden="false" customHeight="false" outlineLevel="0" collapsed="false">
      <c r="A26" s="6" t="s">
        <v>40</v>
      </c>
      <c r="B26" s="4" t="s">
        <v>41</v>
      </c>
    </row>
    <row r="27" customFormat="false" ht="15" hidden="false" customHeight="false" outlineLevel="0" collapsed="false">
      <c r="A27" s="6" t="s">
        <v>42</v>
      </c>
      <c r="B27" s="4" t="s">
        <v>41</v>
      </c>
    </row>
    <row r="28" customFormat="false" ht="15" hidden="false" customHeight="false" outlineLevel="0" collapsed="false">
      <c r="A28" s="6" t="s">
        <v>43</v>
      </c>
      <c r="B28" s="4" t="s">
        <v>41</v>
      </c>
    </row>
    <row r="29" customFormat="false" ht="15" hidden="false" customHeight="false" outlineLevel="0" collapsed="false">
      <c r="A29" s="6" t="s">
        <v>44</v>
      </c>
      <c r="B29" s="4" t="s">
        <v>41</v>
      </c>
    </row>
    <row r="30" customFormat="false" ht="15" hidden="false" customHeight="false" outlineLevel="0" collapsed="false">
      <c r="A30" s="6" t="s">
        <v>45</v>
      </c>
      <c r="B30" s="4" t="s">
        <v>41</v>
      </c>
    </row>
    <row r="31" customFormat="false" ht="15" hidden="false" customHeight="false" outlineLevel="0" collapsed="false">
      <c r="A31" s="6" t="s">
        <v>46</v>
      </c>
      <c r="B31" s="4" t="s">
        <v>41</v>
      </c>
    </row>
    <row r="32" customFormat="false" ht="15" hidden="false" customHeight="false" outlineLevel="0" collapsed="false">
      <c r="A32" s="6" t="s">
        <v>47</v>
      </c>
      <c r="B32" s="4" t="s">
        <v>41</v>
      </c>
    </row>
    <row r="33" customFormat="false" ht="15" hidden="false" customHeight="false" outlineLevel="0" collapsed="false">
      <c r="A33" s="6" t="s">
        <v>48</v>
      </c>
      <c r="B33" s="4" t="s">
        <v>41</v>
      </c>
    </row>
    <row r="34" customFormat="false" ht="15" hidden="false" customHeight="false" outlineLevel="0" collapsed="false">
      <c r="A34" s="6" t="s">
        <v>49</v>
      </c>
      <c r="B34" s="4" t="s">
        <v>41</v>
      </c>
    </row>
    <row r="35" customFormat="false" ht="15" hidden="false" customHeight="false" outlineLevel="0" collapsed="false">
      <c r="A35" s="6" t="s">
        <v>50</v>
      </c>
      <c r="B35" s="4" t="s">
        <v>41</v>
      </c>
    </row>
    <row r="36" customFormat="false" ht="15" hidden="false" customHeight="false" outlineLevel="0" collapsed="false">
      <c r="A36" s="6" t="s">
        <v>51</v>
      </c>
      <c r="B36" s="4" t="s">
        <v>41</v>
      </c>
    </row>
    <row r="37" customFormat="false" ht="15" hidden="false" customHeight="false" outlineLevel="0" collapsed="false">
      <c r="A37" s="6" t="s">
        <v>52</v>
      </c>
      <c r="B37" s="4" t="s">
        <v>41</v>
      </c>
    </row>
    <row r="38" customFormat="false" ht="15" hidden="false" customHeight="false" outlineLevel="0" collapsed="false">
      <c r="A38" s="6" t="s">
        <v>53</v>
      </c>
      <c r="B38" s="4" t="s">
        <v>41</v>
      </c>
    </row>
    <row r="39" customFormat="false" ht="15" hidden="false" customHeight="false" outlineLevel="0" collapsed="false">
      <c r="A39" s="6" t="s">
        <v>54</v>
      </c>
      <c r="B39" s="4" t="s">
        <v>41</v>
      </c>
    </row>
    <row r="40" customFormat="false" ht="15" hidden="false" customHeight="false" outlineLevel="0" collapsed="false">
      <c r="A40" s="6" t="s">
        <v>55</v>
      </c>
      <c r="B40" s="4" t="s">
        <v>41</v>
      </c>
    </row>
  </sheetData>
  <hyperlinks>
    <hyperlink ref="A20" r:id="rId1" location="'1.%20Quy%20trình%204%20bước'!A1" display="1. Quy trình 4 bước"/>
    <hyperlink ref="A21" r:id="rId2" location="'2.%20Bus%20Matrix'!A1" display="2. Bus Matrix"/>
    <hyperlink ref="A22" r:id="rId3" location="'3.%20Danh%20mục%20bảng'!A1" display="3. Danh mục bảng"/>
    <hyperlink ref="A23" r:id="rId4" location="'4.%20SCD'!A1" display="4. SCD"/>
    <hyperlink ref="A24" r:id="rId5" location="'5.%20Độ%20đo'!A1" display="5. Độ đo"/>
    <hyperlink ref="A25" r:id="rId6" location="'6.%20Phân%20cấp'!A1" display="6. Phân cấp"/>
    <hyperlink ref="A26" r:id="rId7" location="'DimDate'!A1" display="DimDate"/>
    <hyperlink ref="A27" r:id="rId8" location="'DimCircuit'!A1" display="DimCircuit"/>
    <hyperlink ref="A28" r:id="rId9" location="'DimRace'!A1" display="DimRace"/>
    <hyperlink ref="A29" r:id="rId10" location="'DimDriver'!A1" display="DimDriver"/>
    <hyperlink ref="A30" r:id="rId11" location="'DimConstructor'!A1" display="DimConstructor"/>
    <hyperlink ref="A31" r:id="rId12" location="'DimStatus'!A1" display="DimStatus"/>
    <hyperlink ref="A32" r:id="rId13" location="'DimSessionType'!A1" display="DimSessionType"/>
    <hyperlink ref="A33" r:id="rId14" location="'DimAudit'!A1" display="DimAudit"/>
    <hyperlink ref="A34" r:id="rId15" location="'FactRaceResult'!A1" display="FactRaceResult"/>
    <hyperlink ref="A35" r:id="rId16" location="'FactQualifying'!A1" display="FactQualifying"/>
    <hyperlink ref="A36" r:id="rId17" location="'FactLapTime'!A1" display="FactLapTime"/>
    <hyperlink ref="A37" r:id="rId18" location="'FactPitStop'!A1" display="FactPitStop"/>
    <hyperlink ref="A38" r:id="rId19" location="'FactDriverStandingSnapshot'!A1" display="FactDriverStandingSnapshot"/>
    <hyperlink ref="A39" r:id="rId20" location="'FactConstructorStandingSnapshot'!A1" display="FactConstructorStandingSnapshot"/>
    <hyperlink ref="A40" r:id="rId21" location="'FactRaceWeekend'!A1" display="FactRaceWeeken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45"/>
    <col collapsed="false" customWidth="true" hidden="false" outlineLevel="0" max="7" min="7" style="0" width="50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3" t="s">
        <v>58</v>
      </c>
      <c r="B4" s="3" t="s">
        <v>59</v>
      </c>
      <c r="C4" s="3" t="s">
        <v>60</v>
      </c>
      <c r="D4" s="3" t="s">
        <v>12</v>
      </c>
      <c r="E4" s="3" t="s">
        <v>61</v>
      </c>
      <c r="F4" s="3" t="s">
        <v>62</v>
      </c>
      <c r="G4" s="3" t="s">
        <v>63</v>
      </c>
      <c r="H4" s="3" t="s">
        <v>64</v>
      </c>
    </row>
    <row r="5" customFormat="false" ht="35.05" hidden="false" customHeight="false" outlineLevel="0" collapsed="false">
      <c r="A5" s="4" t="n">
        <v>1</v>
      </c>
      <c r="B5" s="4" t="s">
        <v>65</v>
      </c>
      <c r="C5" s="4" t="s">
        <v>49</v>
      </c>
      <c r="D5" s="4" t="s">
        <v>66</v>
      </c>
      <c r="E5" s="4" t="s">
        <v>67</v>
      </c>
      <c r="F5" s="4" t="s">
        <v>68</v>
      </c>
      <c r="G5" s="4" t="s">
        <v>69</v>
      </c>
      <c r="H5" s="4" t="s">
        <v>70</v>
      </c>
    </row>
    <row r="6" customFormat="false" ht="23.85" hidden="false" customHeight="false" outlineLevel="0" collapsed="false">
      <c r="A6" s="4" t="n">
        <v>2</v>
      </c>
      <c r="B6" s="4" t="s">
        <v>71</v>
      </c>
      <c r="C6" s="4" t="s">
        <v>50</v>
      </c>
      <c r="D6" s="4" t="s">
        <v>66</v>
      </c>
      <c r="E6" s="4" t="s">
        <v>72</v>
      </c>
      <c r="F6" s="4" t="s">
        <v>73</v>
      </c>
      <c r="G6" s="4" t="s">
        <v>74</v>
      </c>
      <c r="H6" s="4" t="s">
        <v>75</v>
      </c>
    </row>
    <row r="7" customFormat="false" ht="23.85" hidden="false" customHeight="false" outlineLevel="0" collapsed="false">
      <c r="A7" s="4" t="n">
        <v>3</v>
      </c>
      <c r="B7" s="4" t="s">
        <v>76</v>
      </c>
      <c r="C7" s="4" t="s">
        <v>51</v>
      </c>
      <c r="D7" s="4" t="s">
        <v>66</v>
      </c>
      <c r="E7" s="4" t="s">
        <v>77</v>
      </c>
      <c r="F7" s="4" t="s">
        <v>73</v>
      </c>
      <c r="G7" s="4" t="s">
        <v>78</v>
      </c>
      <c r="H7" s="4" t="s">
        <v>79</v>
      </c>
    </row>
    <row r="8" customFormat="false" ht="23.85" hidden="false" customHeight="false" outlineLevel="0" collapsed="false">
      <c r="A8" s="4" t="n">
        <v>4</v>
      </c>
      <c r="B8" s="4" t="s">
        <v>80</v>
      </c>
      <c r="C8" s="4" t="s">
        <v>52</v>
      </c>
      <c r="D8" s="4" t="s">
        <v>66</v>
      </c>
      <c r="E8" s="4" t="s">
        <v>81</v>
      </c>
      <c r="F8" s="4" t="s">
        <v>73</v>
      </c>
      <c r="G8" s="4" t="s">
        <v>82</v>
      </c>
      <c r="H8" s="4" t="s">
        <v>83</v>
      </c>
    </row>
    <row r="9" customFormat="false" ht="23.85" hidden="false" customHeight="false" outlineLevel="0" collapsed="false">
      <c r="A9" s="4" t="n">
        <v>5</v>
      </c>
      <c r="B9" s="4" t="s">
        <v>84</v>
      </c>
      <c r="C9" s="4" t="s">
        <v>53</v>
      </c>
      <c r="D9" s="4" t="s">
        <v>85</v>
      </c>
      <c r="E9" s="4" t="s">
        <v>86</v>
      </c>
      <c r="F9" s="4" t="s">
        <v>87</v>
      </c>
      <c r="G9" s="4" t="s">
        <v>88</v>
      </c>
      <c r="H9" s="4" t="s">
        <v>89</v>
      </c>
    </row>
    <row r="10" customFormat="false" ht="23.85" hidden="false" customHeight="false" outlineLevel="0" collapsed="false">
      <c r="A10" s="4" t="n">
        <v>6</v>
      </c>
      <c r="B10" s="4" t="s">
        <v>90</v>
      </c>
      <c r="C10" s="4" t="s">
        <v>54</v>
      </c>
      <c r="D10" s="4" t="s">
        <v>85</v>
      </c>
      <c r="E10" s="4" t="s">
        <v>91</v>
      </c>
      <c r="F10" s="4" t="s">
        <v>92</v>
      </c>
      <c r="G10" s="4" t="s">
        <v>88</v>
      </c>
      <c r="H10" s="4" t="s">
        <v>93</v>
      </c>
    </row>
    <row r="11" customFormat="false" ht="35.05" hidden="false" customHeight="false" outlineLevel="0" collapsed="false">
      <c r="A11" s="4" t="n">
        <v>7</v>
      </c>
      <c r="B11" s="4" t="s">
        <v>94</v>
      </c>
      <c r="C11" s="4" t="s">
        <v>55</v>
      </c>
      <c r="D11" s="4" t="s">
        <v>95</v>
      </c>
      <c r="E11" s="4" t="s">
        <v>96</v>
      </c>
      <c r="F11" s="4" t="s">
        <v>73</v>
      </c>
      <c r="G11" s="4" t="s">
        <v>97</v>
      </c>
      <c r="H11" s="4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10" min="3" style="0" width="17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31.5" hidden="false" customHeight="true" outlineLevel="0" collapsed="false">
      <c r="A4" s="3" t="s">
        <v>101</v>
      </c>
      <c r="B4" s="3" t="s">
        <v>60</v>
      </c>
      <c r="C4" s="3" t="s">
        <v>40</v>
      </c>
      <c r="D4" s="3" t="s">
        <v>43</v>
      </c>
      <c r="E4" s="3" t="s">
        <v>42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102</v>
      </c>
    </row>
    <row r="5" customFormat="false" ht="15" hidden="false" customHeight="false" outlineLevel="0" collapsed="false">
      <c r="A5" s="4" t="s">
        <v>65</v>
      </c>
      <c r="B5" s="4" t="s">
        <v>49</v>
      </c>
      <c r="C5" s="7" t="s">
        <v>103</v>
      </c>
      <c r="D5" s="7" t="s">
        <v>103</v>
      </c>
      <c r="E5" s="7" t="s">
        <v>103</v>
      </c>
      <c r="F5" s="7" t="s">
        <v>103</v>
      </c>
      <c r="G5" s="7" t="s">
        <v>103</v>
      </c>
      <c r="H5" s="7" t="s">
        <v>103</v>
      </c>
      <c r="I5" s="7" t="s">
        <v>103</v>
      </c>
      <c r="J5" s="7" t="s">
        <v>103</v>
      </c>
      <c r="K5" s="8" t="n">
        <f aca="false">COUNTIF(C5:J5,"X*")</f>
        <v>8</v>
      </c>
    </row>
    <row r="6" customFormat="false" ht="15" hidden="false" customHeight="false" outlineLevel="0" collapsed="false">
      <c r="A6" s="4" t="s">
        <v>71</v>
      </c>
      <c r="B6" s="4" t="s">
        <v>50</v>
      </c>
      <c r="C6" s="7" t="s">
        <v>103</v>
      </c>
      <c r="D6" s="7" t="s">
        <v>103</v>
      </c>
      <c r="E6" s="7" t="s">
        <v>103</v>
      </c>
      <c r="F6" s="7" t="s">
        <v>103</v>
      </c>
      <c r="G6" s="7" t="s">
        <v>103</v>
      </c>
      <c r="H6" s="9"/>
      <c r="I6" s="9"/>
      <c r="J6" s="7" t="s">
        <v>103</v>
      </c>
      <c r="K6" s="8" t="n">
        <f aca="false">COUNTIF(C6:J6,"X*")</f>
        <v>6</v>
      </c>
    </row>
    <row r="7" customFormat="false" ht="15" hidden="false" customHeight="false" outlineLevel="0" collapsed="false">
      <c r="A7" s="4" t="s">
        <v>76</v>
      </c>
      <c r="B7" s="4" t="s">
        <v>51</v>
      </c>
      <c r="C7" s="7" t="s">
        <v>103</v>
      </c>
      <c r="D7" s="7" t="s">
        <v>103</v>
      </c>
      <c r="E7" s="7" t="s">
        <v>103</v>
      </c>
      <c r="F7" s="7" t="s">
        <v>103</v>
      </c>
      <c r="G7" s="7" t="s">
        <v>103</v>
      </c>
      <c r="H7" s="9"/>
      <c r="I7" s="9"/>
      <c r="J7" s="7" t="s">
        <v>103</v>
      </c>
      <c r="K7" s="8" t="n">
        <f aca="false">COUNTIF(C7:J7,"X*")</f>
        <v>6</v>
      </c>
    </row>
    <row r="8" customFormat="false" ht="15" hidden="false" customHeight="false" outlineLevel="0" collapsed="false">
      <c r="A8" s="4" t="s">
        <v>80</v>
      </c>
      <c r="B8" s="4" t="s">
        <v>52</v>
      </c>
      <c r="C8" s="7" t="s">
        <v>103</v>
      </c>
      <c r="D8" s="7" t="s">
        <v>103</v>
      </c>
      <c r="E8" s="7" t="s">
        <v>103</v>
      </c>
      <c r="F8" s="7" t="s">
        <v>103</v>
      </c>
      <c r="G8" s="7" t="s">
        <v>103</v>
      </c>
      <c r="H8" s="9"/>
      <c r="I8" s="9"/>
      <c r="J8" s="7" t="s">
        <v>103</v>
      </c>
      <c r="K8" s="8" t="n">
        <f aca="false">COUNTIF(C8:J8,"X*")</f>
        <v>6</v>
      </c>
    </row>
    <row r="9" customFormat="false" ht="15" hidden="false" customHeight="false" outlineLevel="0" collapsed="false">
      <c r="A9" s="4" t="s">
        <v>84</v>
      </c>
      <c r="B9" s="4" t="s">
        <v>53</v>
      </c>
      <c r="C9" s="7" t="s">
        <v>103</v>
      </c>
      <c r="D9" s="7" t="s">
        <v>103</v>
      </c>
      <c r="E9" s="9"/>
      <c r="F9" s="7" t="s">
        <v>103</v>
      </c>
      <c r="G9" s="9"/>
      <c r="H9" s="9"/>
      <c r="I9" s="9"/>
      <c r="J9" s="7" t="s">
        <v>103</v>
      </c>
      <c r="K9" s="8" t="n">
        <f aca="false">COUNTIF(C9:J9,"X*")</f>
        <v>4</v>
      </c>
    </row>
    <row r="10" customFormat="false" ht="15" hidden="false" customHeight="false" outlineLevel="0" collapsed="false">
      <c r="A10" s="4" t="s">
        <v>90</v>
      </c>
      <c r="B10" s="4" t="s">
        <v>54</v>
      </c>
      <c r="C10" s="7" t="s">
        <v>103</v>
      </c>
      <c r="D10" s="7" t="s">
        <v>103</v>
      </c>
      <c r="E10" s="9"/>
      <c r="F10" s="9"/>
      <c r="G10" s="7" t="s">
        <v>103</v>
      </c>
      <c r="H10" s="9"/>
      <c r="I10" s="9"/>
      <c r="J10" s="7" t="s">
        <v>103</v>
      </c>
      <c r="K10" s="8" t="n">
        <f aca="false">COUNTIF(C10:J10,"X*")</f>
        <v>4</v>
      </c>
    </row>
    <row r="11" customFormat="false" ht="15" hidden="false" customHeight="false" outlineLevel="0" collapsed="false">
      <c r="A11" s="4" t="s">
        <v>94</v>
      </c>
      <c r="B11" s="4" t="s">
        <v>55</v>
      </c>
      <c r="C11" s="7" t="s">
        <v>104</v>
      </c>
      <c r="D11" s="7" t="s">
        <v>103</v>
      </c>
      <c r="E11" s="7" t="s">
        <v>103</v>
      </c>
      <c r="F11" s="7" t="s">
        <v>105</v>
      </c>
      <c r="G11" s="7" t="s">
        <v>103</v>
      </c>
      <c r="H11" s="9"/>
      <c r="I11" s="9"/>
      <c r="J11" s="7" t="s">
        <v>103</v>
      </c>
      <c r="K11" s="8" t="n">
        <f aca="false">COUNTIF(C11:J11,"X*")</f>
        <v>6</v>
      </c>
    </row>
    <row r="12" customFormat="false" ht="15" hidden="false" customHeight="false" outlineLevel="0" collapsed="false">
      <c r="A12" s="10" t="s">
        <v>106</v>
      </c>
      <c r="B12" s="10"/>
      <c r="C12" s="11" t="n">
        <f aca="false">COUNTIF(C5:C11,"X*")</f>
        <v>7</v>
      </c>
      <c r="D12" s="11" t="n">
        <f aca="false">COUNTIF(D5:D11,"X*")</f>
        <v>7</v>
      </c>
      <c r="E12" s="11" t="n">
        <f aca="false">COUNTIF(E5:E11,"X*")</f>
        <v>5</v>
      </c>
      <c r="F12" s="11" t="n">
        <f aca="false">COUNTIF(F5:F11,"X*")</f>
        <v>6</v>
      </c>
      <c r="G12" s="11" t="n">
        <f aca="false">COUNTIF(G5:G11,"X*")</f>
        <v>6</v>
      </c>
      <c r="H12" s="11" t="n">
        <f aca="false">COUNTIF(H5:H11,"X*")</f>
        <v>1</v>
      </c>
      <c r="I12" s="11" t="n">
        <f aca="false">COUNTIF(I5:I11,"X*")</f>
        <v>1</v>
      </c>
      <c r="J12" s="11" t="n">
        <f aca="false">COUNTIF(J5:J11,"X*")</f>
        <v>7</v>
      </c>
      <c r="K12" s="11" t="n">
        <f aca="false">SUM(K5:K11)</f>
        <v>40</v>
      </c>
    </row>
    <row r="14" customFormat="false" ht="15" hidden="false" customHeight="false" outlineLevel="0" collapsed="false">
      <c r="A14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23.85" hidden="false" customHeight="false" outlineLevel="0" collapsed="false">
      <c r="A4" s="3" t="s">
        <v>110</v>
      </c>
      <c r="B4" s="3" t="s">
        <v>111</v>
      </c>
      <c r="C4" s="3" t="s">
        <v>112</v>
      </c>
      <c r="D4" s="3" t="s">
        <v>113</v>
      </c>
      <c r="E4" s="3" t="s">
        <v>114</v>
      </c>
      <c r="F4" s="3" t="s">
        <v>115</v>
      </c>
      <c r="G4" s="3" t="s">
        <v>116</v>
      </c>
      <c r="H4" s="3" t="s">
        <v>117</v>
      </c>
    </row>
    <row r="5" customFormat="false" ht="23.85" hidden="false" customHeight="false" outlineLevel="0" collapsed="false">
      <c r="A5" s="12" t="s">
        <v>40</v>
      </c>
      <c r="B5" s="13" t="s">
        <v>118</v>
      </c>
      <c r="C5" s="13" t="s">
        <v>119</v>
      </c>
      <c r="D5" s="13" t="s">
        <v>120</v>
      </c>
      <c r="E5" s="13" t="s">
        <v>121</v>
      </c>
      <c r="F5" s="13" t="s">
        <v>122</v>
      </c>
      <c r="G5" s="14" t="n">
        <f aca="false">COUNTA(DimDate!A8:A18)</f>
        <v>11</v>
      </c>
      <c r="H5" s="13" t="s">
        <v>123</v>
      </c>
    </row>
    <row r="6" customFormat="false" ht="15" hidden="false" customHeight="false" outlineLevel="0" collapsed="false">
      <c r="A6" s="12" t="s">
        <v>42</v>
      </c>
      <c r="B6" s="13" t="s">
        <v>118</v>
      </c>
      <c r="C6" s="13" t="s">
        <v>119</v>
      </c>
      <c r="D6" s="13" t="s">
        <v>124</v>
      </c>
      <c r="E6" s="13" t="s">
        <v>125</v>
      </c>
      <c r="F6" s="13" t="s">
        <v>126</v>
      </c>
      <c r="G6" s="14" t="n">
        <f aca="false">COUNTA(DimCircuit!A8:A19)</f>
        <v>12</v>
      </c>
      <c r="H6" s="13" t="s">
        <v>127</v>
      </c>
    </row>
    <row r="7" customFormat="false" ht="15" hidden="false" customHeight="false" outlineLevel="0" collapsed="false">
      <c r="A7" s="12" t="s">
        <v>43</v>
      </c>
      <c r="B7" s="13" t="s">
        <v>118</v>
      </c>
      <c r="C7" s="13" t="s">
        <v>119</v>
      </c>
      <c r="D7" s="13" t="s">
        <v>128</v>
      </c>
      <c r="E7" s="13" t="s">
        <v>125</v>
      </c>
      <c r="F7" s="13" t="s">
        <v>129</v>
      </c>
      <c r="G7" s="14" t="n">
        <f aca="false">COUNTA(DimRace!A8:A20)</f>
        <v>13</v>
      </c>
      <c r="H7" s="13" t="s">
        <v>130</v>
      </c>
    </row>
    <row r="8" customFormat="false" ht="15" hidden="false" customHeight="false" outlineLevel="0" collapsed="false">
      <c r="A8" s="12" t="s">
        <v>44</v>
      </c>
      <c r="B8" s="13" t="s">
        <v>118</v>
      </c>
      <c r="C8" s="13" t="s">
        <v>119</v>
      </c>
      <c r="D8" s="13" t="s">
        <v>131</v>
      </c>
      <c r="E8" s="13" t="s">
        <v>132</v>
      </c>
      <c r="F8" s="13" t="s">
        <v>133</v>
      </c>
      <c r="G8" s="14" t="n">
        <f aca="false">COUNTA(DimDriver!A8:A23)</f>
        <v>16</v>
      </c>
      <c r="H8" s="13" t="s">
        <v>134</v>
      </c>
    </row>
    <row r="9" customFormat="false" ht="15" hidden="false" customHeight="false" outlineLevel="0" collapsed="false">
      <c r="A9" s="12" t="s">
        <v>45</v>
      </c>
      <c r="B9" s="13" t="s">
        <v>118</v>
      </c>
      <c r="C9" s="13" t="s">
        <v>119</v>
      </c>
      <c r="D9" s="13" t="s">
        <v>135</v>
      </c>
      <c r="E9" s="13" t="s">
        <v>132</v>
      </c>
      <c r="F9" s="13" t="s">
        <v>136</v>
      </c>
      <c r="G9" s="14" t="n">
        <f aca="false">COUNTA(DimConstructor!A8:A17)</f>
        <v>10</v>
      </c>
      <c r="H9" s="13" t="s">
        <v>137</v>
      </c>
    </row>
    <row r="10" customFormat="false" ht="15" hidden="false" customHeight="false" outlineLevel="0" collapsed="false">
      <c r="A10" s="12" t="s">
        <v>46</v>
      </c>
      <c r="B10" s="13" t="s">
        <v>118</v>
      </c>
      <c r="C10" s="13" t="s">
        <v>119</v>
      </c>
      <c r="D10" s="13" t="s">
        <v>138</v>
      </c>
      <c r="E10" s="13" t="s">
        <v>125</v>
      </c>
      <c r="F10" s="13" t="s">
        <v>139</v>
      </c>
      <c r="G10" s="14" t="n">
        <f aca="false">COUNTA(DimStatus!A8:A14)</f>
        <v>7</v>
      </c>
      <c r="H10" s="13" t="s">
        <v>140</v>
      </c>
    </row>
    <row r="11" customFormat="false" ht="15" hidden="false" customHeight="false" outlineLevel="0" collapsed="false">
      <c r="A11" s="12" t="s">
        <v>47</v>
      </c>
      <c r="B11" s="13" t="s">
        <v>118</v>
      </c>
      <c r="C11" s="13" t="s">
        <v>119</v>
      </c>
      <c r="D11" s="13" t="s">
        <v>141</v>
      </c>
      <c r="E11" s="13" t="s">
        <v>142</v>
      </c>
      <c r="F11" s="13" t="s">
        <v>143</v>
      </c>
      <c r="G11" s="14" t="n">
        <f aca="false">COUNTA(DimSessionType!A8:A10)</f>
        <v>3</v>
      </c>
      <c r="H11" s="13" t="s">
        <v>144</v>
      </c>
    </row>
    <row r="12" customFormat="false" ht="23.85" hidden="false" customHeight="false" outlineLevel="0" collapsed="false">
      <c r="A12" s="12" t="s">
        <v>48</v>
      </c>
      <c r="B12" s="13" t="s">
        <v>118</v>
      </c>
      <c r="C12" s="13" t="s">
        <v>119</v>
      </c>
      <c r="D12" s="13" t="s">
        <v>145</v>
      </c>
      <c r="E12" s="13" t="s">
        <v>146</v>
      </c>
      <c r="F12" s="13" t="s">
        <v>147</v>
      </c>
      <c r="G12" s="14" t="n">
        <f aca="false">COUNTA(DimAudit!A8:A15)</f>
        <v>8</v>
      </c>
      <c r="H12" s="13" t="s">
        <v>148</v>
      </c>
    </row>
    <row r="13" customFormat="false" ht="15" hidden="false" customHeight="false" outlineLevel="0" collapsed="false">
      <c r="A13" s="15" t="s">
        <v>49</v>
      </c>
      <c r="B13" s="16" t="s">
        <v>149</v>
      </c>
      <c r="C13" s="16" t="s">
        <v>66</v>
      </c>
      <c r="D13" s="16" t="s">
        <v>150</v>
      </c>
      <c r="E13" s="16" t="s">
        <v>151</v>
      </c>
      <c r="F13" s="16" t="s">
        <v>152</v>
      </c>
      <c r="G13" s="17" t="n">
        <f aca="false">COUNTA(FactRaceResult!A8:A36)</f>
        <v>29</v>
      </c>
      <c r="H13" s="16" t="s">
        <v>153</v>
      </c>
    </row>
    <row r="14" customFormat="false" ht="15" hidden="false" customHeight="false" outlineLevel="0" collapsed="false">
      <c r="A14" s="15" t="s">
        <v>50</v>
      </c>
      <c r="B14" s="16" t="s">
        <v>149</v>
      </c>
      <c r="C14" s="16" t="s">
        <v>66</v>
      </c>
      <c r="D14" s="16" t="s">
        <v>154</v>
      </c>
      <c r="E14" s="16" t="s">
        <v>151</v>
      </c>
      <c r="F14" s="16" t="s">
        <v>155</v>
      </c>
      <c r="G14" s="17" t="n">
        <f aca="false">COUNTA(FactQualifying!A8:A24)</f>
        <v>17</v>
      </c>
      <c r="H14" s="16" t="s">
        <v>156</v>
      </c>
    </row>
    <row r="15" customFormat="false" ht="15" hidden="false" customHeight="false" outlineLevel="0" collapsed="false">
      <c r="A15" s="15" t="s">
        <v>51</v>
      </c>
      <c r="B15" s="16" t="s">
        <v>149</v>
      </c>
      <c r="C15" s="16" t="s">
        <v>66</v>
      </c>
      <c r="D15" s="16" t="s">
        <v>157</v>
      </c>
      <c r="E15" s="16" t="s">
        <v>151</v>
      </c>
      <c r="F15" s="16" t="s">
        <v>158</v>
      </c>
      <c r="G15" s="17" t="n">
        <f aca="false">COUNTA(FactLapTime!A8:A16)</f>
        <v>9</v>
      </c>
      <c r="H15" s="16" t="s">
        <v>159</v>
      </c>
    </row>
    <row r="16" customFormat="false" ht="15" hidden="false" customHeight="false" outlineLevel="0" collapsed="false">
      <c r="A16" s="15" t="s">
        <v>52</v>
      </c>
      <c r="B16" s="16" t="s">
        <v>149</v>
      </c>
      <c r="C16" s="16" t="s">
        <v>66</v>
      </c>
      <c r="D16" s="16" t="s">
        <v>160</v>
      </c>
      <c r="E16" s="16" t="s">
        <v>151</v>
      </c>
      <c r="F16" s="16" t="s">
        <v>161</v>
      </c>
      <c r="G16" s="17" t="n">
        <f aca="false">COUNTA(FactPitStop!A8:A18)</f>
        <v>11</v>
      </c>
      <c r="H16" s="16" t="s">
        <v>162</v>
      </c>
    </row>
    <row r="17" customFormat="false" ht="15" hidden="false" customHeight="false" outlineLevel="0" collapsed="false">
      <c r="A17" s="15" t="s">
        <v>53</v>
      </c>
      <c r="B17" s="16" t="s">
        <v>149</v>
      </c>
      <c r="C17" s="16" t="s">
        <v>85</v>
      </c>
      <c r="D17" s="16" t="s">
        <v>163</v>
      </c>
      <c r="E17" s="16" t="s">
        <v>151</v>
      </c>
      <c r="F17" s="16" t="s">
        <v>164</v>
      </c>
      <c r="G17" s="17" t="n">
        <f aca="false">COUNTA(FactDriverStandingSnapshot!A8:A14)</f>
        <v>7</v>
      </c>
      <c r="H17" s="16" t="s">
        <v>165</v>
      </c>
    </row>
    <row r="18" customFormat="false" ht="15" hidden="false" customHeight="false" outlineLevel="0" collapsed="false">
      <c r="A18" s="15" t="s">
        <v>54</v>
      </c>
      <c r="B18" s="16" t="s">
        <v>149</v>
      </c>
      <c r="C18" s="16" t="s">
        <v>85</v>
      </c>
      <c r="D18" s="16" t="s">
        <v>166</v>
      </c>
      <c r="E18" s="16" t="s">
        <v>151</v>
      </c>
      <c r="F18" s="16" t="s">
        <v>167</v>
      </c>
      <c r="G18" s="17" t="n">
        <f aca="false">COUNTA(FactConstructorStandingSnapshot!A8:A14)</f>
        <v>7</v>
      </c>
      <c r="H18" s="16" t="s">
        <v>168</v>
      </c>
    </row>
    <row r="19" customFormat="false" ht="23.85" hidden="false" customHeight="false" outlineLevel="0" collapsed="false">
      <c r="A19" s="15" t="s">
        <v>55</v>
      </c>
      <c r="B19" s="16" t="s">
        <v>149</v>
      </c>
      <c r="C19" s="16" t="s">
        <v>95</v>
      </c>
      <c r="D19" s="16" t="s">
        <v>128</v>
      </c>
      <c r="E19" s="16" t="s">
        <v>169</v>
      </c>
      <c r="F19" s="16" t="s">
        <v>170</v>
      </c>
      <c r="G19" s="17" t="n">
        <f aca="false">COUNTA(FactRaceWeekend!A8:A28)</f>
        <v>21</v>
      </c>
      <c r="H19" s="16" t="s">
        <v>171</v>
      </c>
    </row>
    <row r="20" customFormat="false" ht="15" hidden="false" customHeight="false" outlineLevel="0" collapsed="false">
      <c r="A20" s="10" t="s">
        <v>172</v>
      </c>
      <c r="B20" s="10"/>
      <c r="C20" s="10"/>
      <c r="D20" s="10"/>
      <c r="E20" s="10"/>
      <c r="F20" s="10"/>
      <c r="G20" s="10" t="n">
        <f aca="false">SUM(G5:G19)</f>
        <v>181</v>
      </c>
      <c r="H20" s="10"/>
    </row>
  </sheetData>
  <hyperlinks>
    <hyperlink ref="A5" r:id="rId1" location="'DimDate'!A1" display="DimDate"/>
    <hyperlink ref="A6" r:id="rId2" location="'DimCircuit'!A1" display="DimCircuit"/>
    <hyperlink ref="A7" r:id="rId3" location="'DimRace'!A1" display="DimRace"/>
    <hyperlink ref="A8" r:id="rId4" location="'DimDriver'!A1" display="DimDriver"/>
    <hyperlink ref="A9" r:id="rId5" location="'DimConstructor'!A1" display="DimConstructor"/>
    <hyperlink ref="A10" r:id="rId6" location="'DimStatus'!A1" display="DimStatus"/>
    <hyperlink ref="A11" r:id="rId7" location="'DimSessionType'!A1" display="DimSessionType"/>
    <hyperlink ref="A12" r:id="rId8" location="'DimAudit'!A1" display="DimAudit"/>
    <hyperlink ref="A13" r:id="rId9" location="'FactRaceResult'!A1" display="FactRaceResult"/>
    <hyperlink ref="A14" r:id="rId10" location="'FactQualifying'!A1" display="FactQualifying"/>
    <hyperlink ref="A15" r:id="rId11" location="'FactLapTime'!A1" display="FactLapTime"/>
    <hyperlink ref="A16" r:id="rId12" location="'FactPitStop'!A1" display="FactPitStop"/>
    <hyperlink ref="A17" r:id="rId13" location="'FactDriverStandingSnapshot'!A1" display="FactDriverStandingSnapshot"/>
    <hyperlink ref="A18" r:id="rId14" location="'FactConstructorStandingSnapshot'!A1" display="FactConstructorStandingSnapshot"/>
    <hyperlink ref="A19" r:id="rId15" location="'FactRaceWeekend'!A1" display="FactRaceWeeken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6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173</v>
      </c>
    </row>
    <row r="2" customFormat="false" ht="15" hidden="false" customHeight="false" outlineLevel="0" collapsed="false">
      <c r="A2" s="2" t="s">
        <v>174</v>
      </c>
    </row>
    <row r="4" customFormat="false" ht="15" hidden="false" customHeight="false" outlineLevel="0" collapsed="false">
      <c r="A4" s="3" t="s">
        <v>118</v>
      </c>
      <c r="B4" s="3" t="s">
        <v>175</v>
      </c>
      <c r="C4" s="3" t="s">
        <v>176</v>
      </c>
      <c r="D4" s="3" t="s">
        <v>177</v>
      </c>
      <c r="E4" s="3" t="s">
        <v>178</v>
      </c>
    </row>
    <row r="5" customFormat="false" ht="15" hidden="false" customHeight="false" outlineLevel="0" collapsed="false">
      <c r="A5" s="4" t="s">
        <v>42</v>
      </c>
      <c r="B5" s="4" t="s">
        <v>179</v>
      </c>
      <c r="C5" s="4" t="s">
        <v>125</v>
      </c>
      <c r="D5" s="4" t="s">
        <v>180</v>
      </c>
      <c r="E5" s="4" t="s">
        <v>181</v>
      </c>
    </row>
    <row r="6" customFormat="false" ht="15" hidden="false" customHeight="false" outlineLevel="0" collapsed="false">
      <c r="A6" s="4" t="s">
        <v>42</v>
      </c>
      <c r="B6" s="4" t="s">
        <v>182</v>
      </c>
      <c r="C6" s="4" t="s">
        <v>125</v>
      </c>
      <c r="D6" s="4" t="s">
        <v>180</v>
      </c>
      <c r="E6" s="4" t="s">
        <v>181</v>
      </c>
    </row>
    <row r="7" customFormat="false" ht="15" hidden="false" customHeight="false" outlineLevel="0" collapsed="false">
      <c r="A7" s="4" t="s">
        <v>42</v>
      </c>
      <c r="B7" s="4" t="s">
        <v>183</v>
      </c>
      <c r="C7" s="4" t="s">
        <v>125</v>
      </c>
      <c r="D7" s="4" t="s">
        <v>180</v>
      </c>
      <c r="E7" s="4" t="s">
        <v>181</v>
      </c>
    </row>
    <row r="8" customFormat="false" ht="15" hidden="false" customHeight="false" outlineLevel="0" collapsed="false">
      <c r="A8" s="4" t="s">
        <v>42</v>
      </c>
      <c r="B8" s="4" t="s">
        <v>184</v>
      </c>
      <c r="C8" s="4" t="s">
        <v>125</v>
      </c>
      <c r="D8" s="4" t="s">
        <v>180</v>
      </c>
      <c r="E8" s="4" t="s">
        <v>181</v>
      </c>
    </row>
    <row r="9" customFormat="false" ht="15" hidden="false" customHeight="false" outlineLevel="0" collapsed="false">
      <c r="A9" s="4" t="s">
        <v>42</v>
      </c>
      <c r="B9" s="4" t="s">
        <v>185</v>
      </c>
      <c r="C9" s="4" t="s">
        <v>125</v>
      </c>
      <c r="D9" s="4" t="s">
        <v>180</v>
      </c>
      <c r="E9" s="4" t="s">
        <v>181</v>
      </c>
    </row>
    <row r="10" customFormat="false" ht="15" hidden="false" customHeight="false" outlineLevel="0" collapsed="false">
      <c r="A10" s="4" t="s">
        <v>42</v>
      </c>
      <c r="B10" s="4" t="s">
        <v>186</v>
      </c>
      <c r="C10" s="4" t="s">
        <v>125</v>
      </c>
      <c r="D10" s="4" t="s">
        <v>180</v>
      </c>
      <c r="E10" s="4" t="s">
        <v>181</v>
      </c>
    </row>
    <row r="11" customFormat="false" ht="15" hidden="false" customHeight="false" outlineLevel="0" collapsed="false">
      <c r="A11" s="4" t="s">
        <v>42</v>
      </c>
      <c r="B11" s="4" t="s">
        <v>187</v>
      </c>
      <c r="C11" s="4" t="s">
        <v>125</v>
      </c>
      <c r="D11" s="4" t="s">
        <v>180</v>
      </c>
      <c r="E11" s="4" t="s">
        <v>181</v>
      </c>
    </row>
    <row r="12" customFormat="false" ht="15" hidden="false" customHeight="false" outlineLevel="0" collapsed="false">
      <c r="A12" s="4" t="s">
        <v>42</v>
      </c>
      <c r="B12" s="4" t="s">
        <v>188</v>
      </c>
      <c r="C12" s="4" t="s">
        <v>125</v>
      </c>
      <c r="D12" s="4" t="s">
        <v>180</v>
      </c>
      <c r="E12" s="4" t="s">
        <v>181</v>
      </c>
    </row>
    <row r="13" customFormat="false" ht="15" hidden="false" customHeight="false" outlineLevel="0" collapsed="false">
      <c r="A13" s="4" t="s">
        <v>43</v>
      </c>
      <c r="B13" s="4" t="s">
        <v>189</v>
      </c>
      <c r="C13" s="4" t="s">
        <v>125</v>
      </c>
      <c r="D13" s="4" t="s">
        <v>180</v>
      </c>
      <c r="E13" s="4" t="s">
        <v>181</v>
      </c>
    </row>
    <row r="14" customFormat="false" ht="15" hidden="false" customHeight="false" outlineLevel="0" collapsed="false">
      <c r="A14" s="4" t="s">
        <v>43</v>
      </c>
      <c r="B14" s="4" t="s">
        <v>190</v>
      </c>
      <c r="C14" s="4" t="s">
        <v>125</v>
      </c>
      <c r="D14" s="4" t="s">
        <v>180</v>
      </c>
      <c r="E14" s="4" t="s">
        <v>181</v>
      </c>
    </row>
    <row r="15" customFormat="false" ht="15" hidden="false" customHeight="false" outlineLevel="0" collapsed="false">
      <c r="A15" s="4" t="s">
        <v>43</v>
      </c>
      <c r="B15" s="4" t="s">
        <v>191</v>
      </c>
      <c r="C15" s="4" t="s">
        <v>125</v>
      </c>
      <c r="D15" s="4" t="s">
        <v>180</v>
      </c>
      <c r="E15" s="4" t="s">
        <v>181</v>
      </c>
    </row>
    <row r="16" customFormat="false" ht="15" hidden="false" customHeight="false" outlineLevel="0" collapsed="false">
      <c r="A16" s="4" t="s">
        <v>43</v>
      </c>
      <c r="B16" s="4" t="s">
        <v>192</v>
      </c>
      <c r="C16" s="4" t="s">
        <v>125</v>
      </c>
      <c r="D16" s="4" t="s">
        <v>180</v>
      </c>
      <c r="E16" s="4" t="s">
        <v>181</v>
      </c>
    </row>
    <row r="17" customFormat="false" ht="15" hidden="false" customHeight="false" outlineLevel="0" collapsed="false">
      <c r="A17" s="4" t="s">
        <v>43</v>
      </c>
      <c r="B17" s="4" t="s">
        <v>193</v>
      </c>
      <c r="C17" s="4" t="s">
        <v>125</v>
      </c>
      <c r="D17" s="4" t="s">
        <v>180</v>
      </c>
      <c r="E17" s="4" t="s">
        <v>181</v>
      </c>
    </row>
    <row r="18" customFormat="false" ht="15" hidden="false" customHeight="false" outlineLevel="0" collapsed="false">
      <c r="A18" s="4" t="s">
        <v>43</v>
      </c>
      <c r="B18" s="4" t="s">
        <v>194</v>
      </c>
      <c r="C18" s="4" t="s">
        <v>125</v>
      </c>
      <c r="D18" s="4" t="s">
        <v>180</v>
      </c>
      <c r="E18" s="4" t="s">
        <v>181</v>
      </c>
    </row>
    <row r="19" customFormat="false" ht="15" hidden="false" customHeight="false" outlineLevel="0" collapsed="false">
      <c r="A19" s="4" t="s">
        <v>43</v>
      </c>
      <c r="B19" s="4" t="s">
        <v>195</v>
      </c>
      <c r="C19" s="4" t="s">
        <v>125</v>
      </c>
      <c r="D19" s="4" t="s">
        <v>180</v>
      </c>
      <c r="E19" s="4" t="s">
        <v>181</v>
      </c>
    </row>
    <row r="20" customFormat="false" ht="15" hidden="false" customHeight="false" outlineLevel="0" collapsed="false">
      <c r="A20" s="4" t="s">
        <v>43</v>
      </c>
      <c r="B20" s="4" t="s">
        <v>196</v>
      </c>
      <c r="C20" s="4" t="s">
        <v>125</v>
      </c>
      <c r="D20" s="4" t="s">
        <v>180</v>
      </c>
      <c r="E20" s="4" t="s">
        <v>181</v>
      </c>
    </row>
    <row r="21" customFormat="false" ht="15" hidden="false" customHeight="false" outlineLevel="0" collapsed="false">
      <c r="A21" s="4" t="s">
        <v>43</v>
      </c>
      <c r="B21" s="4" t="s">
        <v>197</v>
      </c>
      <c r="C21" s="4" t="s">
        <v>125</v>
      </c>
      <c r="D21" s="4" t="s">
        <v>180</v>
      </c>
      <c r="E21" s="4" t="s">
        <v>181</v>
      </c>
    </row>
    <row r="22" customFormat="false" ht="15" hidden="false" customHeight="false" outlineLevel="0" collapsed="false">
      <c r="A22" s="4" t="s">
        <v>44</v>
      </c>
      <c r="B22" s="4" t="s">
        <v>198</v>
      </c>
      <c r="C22" s="4" t="s">
        <v>125</v>
      </c>
      <c r="D22" s="4" t="s">
        <v>180</v>
      </c>
      <c r="E22" s="4" t="s">
        <v>181</v>
      </c>
    </row>
    <row r="23" customFormat="false" ht="23.85" hidden="false" customHeight="false" outlineLevel="0" collapsed="false">
      <c r="A23" s="18" t="s">
        <v>44</v>
      </c>
      <c r="B23" s="18" t="s">
        <v>199</v>
      </c>
      <c r="C23" s="18" t="s">
        <v>200</v>
      </c>
      <c r="D23" s="18" t="s">
        <v>201</v>
      </c>
      <c r="E23" s="18" t="s">
        <v>202</v>
      </c>
    </row>
    <row r="24" customFormat="false" ht="23.85" hidden="false" customHeight="false" outlineLevel="0" collapsed="false">
      <c r="A24" s="18" t="s">
        <v>44</v>
      </c>
      <c r="B24" s="18" t="s">
        <v>203</v>
      </c>
      <c r="C24" s="18" t="s">
        <v>200</v>
      </c>
      <c r="D24" s="18" t="s">
        <v>201</v>
      </c>
      <c r="E24" s="18" t="s">
        <v>202</v>
      </c>
    </row>
    <row r="25" customFormat="false" ht="15" hidden="false" customHeight="false" outlineLevel="0" collapsed="false">
      <c r="A25" s="4" t="s">
        <v>44</v>
      </c>
      <c r="B25" s="4" t="s">
        <v>204</v>
      </c>
      <c r="C25" s="4" t="s">
        <v>125</v>
      </c>
      <c r="D25" s="4" t="s">
        <v>180</v>
      </c>
      <c r="E25" s="4" t="s">
        <v>181</v>
      </c>
    </row>
    <row r="26" customFormat="false" ht="15" hidden="false" customHeight="false" outlineLevel="0" collapsed="false">
      <c r="A26" s="4" t="s">
        <v>44</v>
      </c>
      <c r="B26" s="4" t="s">
        <v>205</v>
      </c>
      <c r="C26" s="4" t="s">
        <v>125</v>
      </c>
      <c r="D26" s="4" t="s">
        <v>180</v>
      </c>
      <c r="E26" s="4" t="s">
        <v>181</v>
      </c>
    </row>
    <row r="27" customFormat="false" ht="15" hidden="false" customHeight="false" outlineLevel="0" collapsed="false">
      <c r="A27" s="4" t="s">
        <v>44</v>
      </c>
      <c r="B27" s="4" t="s">
        <v>206</v>
      </c>
      <c r="C27" s="4" t="s">
        <v>125</v>
      </c>
      <c r="D27" s="4" t="s">
        <v>180</v>
      </c>
      <c r="E27" s="4" t="s">
        <v>181</v>
      </c>
    </row>
    <row r="28" customFormat="false" ht="15" hidden="false" customHeight="false" outlineLevel="0" collapsed="false">
      <c r="A28" s="4" t="s">
        <v>44</v>
      </c>
      <c r="B28" s="4" t="s">
        <v>207</v>
      </c>
      <c r="C28" s="4" t="s">
        <v>125</v>
      </c>
      <c r="D28" s="4" t="s">
        <v>180</v>
      </c>
      <c r="E28" s="4" t="s">
        <v>181</v>
      </c>
    </row>
    <row r="29" customFormat="false" ht="23.85" hidden="false" customHeight="false" outlineLevel="0" collapsed="false">
      <c r="A29" s="18" t="s">
        <v>44</v>
      </c>
      <c r="B29" s="18" t="s">
        <v>208</v>
      </c>
      <c r="C29" s="18" t="s">
        <v>200</v>
      </c>
      <c r="D29" s="18" t="s">
        <v>201</v>
      </c>
      <c r="E29" s="18" t="s">
        <v>202</v>
      </c>
    </row>
    <row r="30" customFormat="false" ht="23.85" hidden="false" customHeight="false" outlineLevel="0" collapsed="false">
      <c r="A30" s="18" t="s">
        <v>44</v>
      </c>
      <c r="B30" s="18" t="s">
        <v>209</v>
      </c>
      <c r="C30" s="18" t="s">
        <v>200</v>
      </c>
      <c r="D30" s="18" t="s">
        <v>201</v>
      </c>
      <c r="E30" s="18" t="s">
        <v>202</v>
      </c>
    </row>
    <row r="31" customFormat="false" ht="15" hidden="false" customHeight="false" outlineLevel="0" collapsed="false">
      <c r="A31" s="4" t="s">
        <v>45</v>
      </c>
      <c r="B31" s="4" t="s">
        <v>210</v>
      </c>
      <c r="C31" s="4" t="s">
        <v>125</v>
      </c>
      <c r="D31" s="4" t="s">
        <v>180</v>
      </c>
      <c r="E31" s="4" t="s">
        <v>181</v>
      </c>
    </row>
    <row r="32" customFormat="false" ht="23.85" hidden="false" customHeight="false" outlineLevel="0" collapsed="false">
      <c r="A32" s="18" t="s">
        <v>45</v>
      </c>
      <c r="B32" s="18" t="s">
        <v>211</v>
      </c>
      <c r="C32" s="18" t="s">
        <v>200</v>
      </c>
      <c r="D32" s="18" t="s">
        <v>201</v>
      </c>
      <c r="E32" s="18" t="s">
        <v>202</v>
      </c>
    </row>
    <row r="33" customFormat="false" ht="23.85" hidden="false" customHeight="false" outlineLevel="0" collapsed="false">
      <c r="A33" s="18" t="s">
        <v>45</v>
      </c>
      <c r="B33" s="18" t="s">
        <v>208</v>
      </c>
      <c r="C33" s="18" t="s">
        <v>200</v>
      </c>
      <c r="D33" s="18" t="s">
        <v>201</v>
      </c>
      <c r="E33" s="18" t="s">
        <v>202</v>
      </c>
    </row>
    <row r="34" customFormat="false" ht="15" hidden="false" customHeight="false" outlineLevel="0" collapsed="false">
      <c r="A34" s="4" t="s">
        <v>46</v>
      </c>
      <c r="B34" s="4" t="s">
        <v>212</v>
      </c>
      <c r="C34" s="4" t="s">
        <v>125</v>
      </c>
      <c r="D34" s="4" t="s">
        <v>180</v>
      </c>
      <c r="E34" s="4" t="s">
        <v>181</v>
      </c>
    </row>
    <row r="35" customFormat="false" ht="15" hidden="false" customHeight="false" outlineLevel="0" collapsed="false">
      <c r="A35" s="4" t="s">
        <v>46</v>
      </c>
      <c r="B35" s="4" t="s">
        <v>213</v>
      </c>
      <c r="C35" s="4" t="s">
        <v>125</v>
      </c>
      <c r="D35" s="4" t="s">
        <v>180</v>
      </c>
      <c r="E35" s="4" t="s">
        <v>181</v>
      </c>
    </row>
    <row r="36" customFormat="false" ht="15" hidden="false" customHeight="false" outlineLevel="0" collapsed="false">
      <c r="A36" s="4" t="s">
        <v>46</v>
      </c>
      <c r="B36" s="4" t="s">
        <v>214</v>
      </c>
      <c r="C36" s="4" t="s">
        <v>125</v>
      </c>
      <c r="D36" s="4" t="s">
        <v>180</v>
      </c>
      <c r="E36" s="4" t="s">
        <v>181</v>
      </c>
    </row>
    <row r="38" customFormat="false" ht="23.85" hidden="false" customHeight="false" outlineLevel="0" collapsed="false">
      <c r="A38" s="10" t="s">
        <v>215</v>
      </c>
      <c r="B38" s="10"/>
      <c r="C38" s="10" t="n">
        <f aca="false">COUNTIF(C5:C36,"Type 2")</f>
        <v>6</v>
      </c>
      <c r="D38" s="10"/>
      <c r="E38" s="10"/>
    </row>
    <row r="39" customFormat="false" ht="23.85" hidden="false" customHeight="false" outlineLevel="0" collapsed="false">
      <c r="A39" s="10" t="s">
        <v>216</v>
      </c>
      <c r="B39" s="10"/>
      <c r="C39" s="10" t="n">
        <f aca="false">COUNTIF(C5:C36,"Type 1")</f>
        <v>26</v>
      </c>
      <c r="D39" s="10"/>
      <c r="E3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45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15" hidden="false" customHeight="false" outlineLevel="0" collapsed="false">
      <c r="A4" s="3" t="s">
        <v>60</v>
      </c>
      <c r="B4" s="3" t="s">
        <v>219</v>
      </c>
      <c r="C4" s="3" t="s">
        <v>220</v>
      </c>
      <c r="D4" s="3" t="s">
        <v>221</v>
      </c>
      <c r="E4" s="3" t="s">
        <v>117</v>
      </c>
      <c r="F4" s="3" t="s">
        <v>222</v>
      </c>
    </row>
    <row r="5" customFormat="false" ht="15" hidden="false" customHeight="false" outlineLevel="0" collapsed="false">
      <c r="A5" s="4" t="s">
        <v>49</v>
      </c>
      <c r="B5" s="4" t="s">
        <v>223</v>
      </c>
      <c r="C5" s="4" t="s">
        <v>224</v>
      </c>
      <c r="D5" s="16" t="s">
        <v>225</v>
      </c>
      <c r="E5" s="4" t="s">
        <v>226</v>
      </c>
      <c r="F5" s="4"/>
    </row>
    <row r="6" customFormat="false" ht="15" hidden="false" customHeight="false" outlineLevel="0" collapsed="false">
      <c r="A6" s="4" t="s">
        <v>49</v>
      </c>
      <c r="B6" s="4" t="s">
        <v>227</v>
      </c>
      <c r="C6" s="4" t="s">
        <v>224</v>
      </c>
      <c r="D6" s="16" t="s">
        <v>225</v>
      </c>
      <c r="E6" s="4" t="s">
        <v>228</v>
      </c>
      <c r="F6" s="4" t="s">
        <v>229</v>
      </c>
    </row>
    <row r="7" customFormat="false" ht="15" hidden="false" customHeight="false" outlineLevel="0" collapsed="false">
      <c r="A7" s="4" t="s">
        <v>49</v>
      </c>
      <c r="B7" s="4" t="s">
        <v>230</v>
      </c>
      <c r="C7" s="4" t="s">
        <v>224</v>
      </c>
      <c r="D7" s="16" t="s">
        <v>225</v>
      </c>
      <c r="E7" s="4" t="s">
        <v>231</v>
      </c>
      <c r="F7" s="4"/>
    </row>
    <row r="8" customFormat="false" ht="15" hidden="false" customHeight="false" outlineLevel="0" collapsed="false">
      <c r="A8" s="4" t="s">
        <v>49</v>
      </c>
      <c r="B8" s="4" t="s">
        <v>232</v>
      </c>
      <c r="C8" s="4" t="s">
        <v>233</v>
      </c>
      <c r="D8" s="13" t="s">
        <v>234</v>
      </c>
      <c r="E8" s="4" t="s">
        <v>235</v>
      </c>
      <c r="F8" s="4"/>
    </row>
    <row r="9" customFormat="false" ht="15" hidden="false" customHeight="false" outlineLevel="0" collapsed="false">
      <c r="A9" s="4" t="s">
        <v>49</v>
      </c>
      <c r="B9" s="4" t="s">
        <v>236</v>
      </c>
      <c r="C9" s="4" t="s">
        <v>224</v>
      </c>
      <c r="D9" s="13" t="s">
        <v>234</v>
      </c>
      <c r="E9" s="4" t="s">
        <v>237</v>
      </c>
      <c r="F9" s="4"/>
    </row>
    <row r="10" customFormat="false" ht="15" hidden="false" customHeight="false" outlineLevel="0" collapsed="false">
      <c r="A10" s="4" t="s">
        <v>49</v>
      </c>
      <c r="B10" s="4" t="s">
        <v>238</v>
      </c>
      <c r="C10" s="4" t="s">
        <v>239</v>
      </c>
      <c r="D10" s="16" t="s">
        <v>225</v>
      </c>
      <c r="E10" s="4" t="s">
        <v>240</v>
      </c>
      <c r="F10" s="4"/>
    </row>
    <row r="11" customFormat="false" ht="15" hidden="false" customHeight="false" outlineLevel="0" collapsed="false">
      <c r="A11" s="4" t="s">
        <v>49</v>
      </c>
      <c r="B11" s="4" t="s">
        <v>241</v>
      </c>
      <c r="C11" s="4" t="s">
        <v>224</v>
      </c>
      <c r="D11" s="16" t="s">
        <v>225</v>
      </c>
      <c r="E11" s="4" t="s">
        <v>242</v>
      </c>
      <c r="F11" s="4"/>
    </row>
    <row r="12" customFormat="false" ht="15" hidden="false" customHeight="false" outlineLevel="0" collapsed="false">
      <c r="A12" s="4" t="s">
        <v>49</v>
      </c>
      <c r="B12" s="4" t="s">
        <v>243</v>
      </c>
      <c r="C12" s="4" t="s">
        <v>224</v>
      </c>
      <c r="D12" s="16" t="s">
        <v>225</v>
      </c>
      <c r="E12" s="4" t="s">
        <v>244</v>
      </c>
      <c r="F12" s="4"/>
    </row>
    <row r="13" customFormat="false" ht="15" hidden="false" customHeight="false" outlineLevel="0" collapsed="false">
      <c r="A13" s="4" t="s">
        <v>49</v>
      </c>
      <c r="B13" s="4" t="s">
        <v>245</v>
      </c>
      <c r="C13" s="4" t="s">
        <v>224</v>
      </c>
      <c r="D13" s="16" t="s">
        <v>225</v>
      </c>
      <c r="E13" s="4" t="s">
        <v>246</v>
      </c>
      <c r="F13" s="4" t="s">
        <v>247</v>
      </c>
    </row>
    <row r="14" customFormat="false" ht="15" hidden="false" customHeight="false" outlineLevel="0" collapsed="false">
      <c r="A14" s="4" t="s">
        <v>49</v>
      </c>
      <c r="B14" s="4" t="s">
        <v>248</v>
      </c>
      <c r="C14" s="4" t="s">
        <v>249</v>
      </c>
      <c r="D14" s="16" t="s">
        <v>225</v>
      </c>
      <c r="E14" s="4" t="s">
        <v>250</v>
      </c>
      <c r="F14" s="4"/>
    </row>
    <row r="15" customFormat="false" ht="15" hidden="false" customHeight="false" outlineLevel="0" collapsed="false">
      <c r="A15" s="4" t="s">
        <v>49</v>
      </c>
      <c r="B15" s="4" t="s">
        <v>251</v>
      </c>
      <c r="C15" s="4" t="s">
        <v>252</v>
      </c>
      <c r="D15" s="16" t="s">
        <v>225</v>
      </c>
      <c r="E15" s="4" t="s">
        <v>253</v>
      </c>
      <c r="F15" s="4" t="s">
        <v>254</v>
      </c>
    </row>
    <row r="16" customFormat="false" ht="15" hidden="false" customHeight="false" outlineLevel="0" collapsed="false">
      <c r="A16" s="4" t="s">
        <v>49</v>
      </c>
      <c r="B16" s="4" t="s">
        <v>255</v>
      </c>
      <c r="C16" s="4" t="s">
        <v>224</v>
      </c>
      <c r="D16" s="13" t="s">
        <v>234</v>
      </c>
      <c r="E16" s="4" t="s">
        <v>256</v>
      </c>
      <c r="F16" s="4" t="s">
        <v>257</v>
      </c>
    </row>
    <row r="17" customFormat="false" ht="15" hidden="false" customHeight="false" outlineLevel="0" collapsed="false">
      <c r="A17" s="4" t="s">
        <v>49</v>
      </c>
      <c r="B17" s="4" t="s">
        <v>258</v>
      </c>
      <c r="C17" s="4" t="s">
        <v>259</v>
      </c>
      <c r="D17" s="13" t="s">
        <v>234</v>
      </c>
      <c r="E17" s="4" t="s">
        <v>260</v>
      </c>
      <c r="F17" s="4" t="s">
        <v>261</v>
      </c>
    </row>
    <row r="18" customFormat="false" ht="15" hidden="false" customHeight="false" outlineLevel="0" collapsed="false">
      <c r="A18" s="4" t="s">
        <v>49</v>
      </c>
      <c r="B18" s="4" t="s">
        <v>262</v>
      </c>
      <c r="C18" s="4" t="s">
        <v>259</v>
      </c>
      <c r="D18" s="13" t="s">
        <v>234</v>
      </c>
      <c r="E18" s="4" t="s">
        <v>263</v>
      </c>
      <c r="F18" s="4" t="s">
        <v>264</v>
      </c>
    </row>
    <row r="19" customFormat="false" ht="15" hidden="false" customHeight="false" outlineLevel="0" collapsed="false">
      <c r="A19" s="4" t="s">
        <v>49</v>
      </c>
      <c r="B19" s="4" t="s">
        <v>265</v>
      </c>
      <c r="C19" s="4" t="s">
        <v>259</v>
      </c>
      <c r="D19" s="13" t="s">
        <v>234</v>
      </c>
      <c r="E19" s="4" t="s">
        <v>266</v>
      </c>
      <c r="F19" s="4" t="s">
        <v>267</v>
      </c>
    </row>
    <row r="20" customFormat="false" ht="15" hidden="false" customHeight="false" outlineLevel="0" collapsed="false">
      <c r="A20" s="4" t="s">
        <v>49</v>
      </c>
      <c r="B20" s="4" t="s">
        <v>268</v>
      </c>
      <c r="C20" s="4" t="s">
        <v>259</v>
      </c>
      <c r="D20" s="13" t="s">
        <v>234</v>
      </c>
      <c r="E20" s="4" t="s">
        <v>269</v>
      </c>
      <c r="F20" s="4" t="s">
        <v>270</v>
      </c>
    </row>
    <row r="21" customFormat="false" ht="15" hidden="false" customHeight="false" outlineLevel="0" collapsed="false">
      <c r="A21" s="4" t="s">
        <v>49</v>
      </c>
      <c r="B21" s="4" t="s">
        <v>271</v>
      </c>
      <c r="C21" s="4" t="s">
        <v>259</v>
      </c>
      <c r="D21" s="13" t="s">
        <v>234</v>
      </c>
      <c r="E21" s="4" t="s">
        <v>272</v>
      </c>
      <c r="F21" s="4" t="s">
        <v>273</v>
      </c>
    </row>
    <row r="22" customFormat="false" ht="15" hidden="false" customHeight="false" outlineLevel="0" collapsed="false">
      <c r="A22" s="4" t="s">
        <v>49</v>
      </c>
      <c r="B22" s="4" t="s">
        <v>274</v>
      </c>
      <c r="C22" s="4" t="s">
        <v>259</v>
      </c>
      <c r="D22" s="13" t="s">
        <v>234</v>
      </c>
      <c r="E22" s="4" t="s">
        <v>275</v>
      </c>
      <c r="F22" s="4" t="s">
        <v>276</v>
      </c>
    </row>
    <row r="23" customFormat="false" ht="15" hidden="false" customHeight="false" outlineLevel="0" collapsed="false">
      <c r="A23" s="4" t="s">
        <v>50</v>
      </c>
      <c r="B23" s="4" t="s">
        <v>277</v>
      </c>
      <c r="C23" s="4" t="s">
        <v>224</v>
      </c>
      <c r="D23" s="16" t="s">
        <v>225</v>
      </c>
      <c r="E23" s="4" t="s">
        <v>278</v>
      </c>
      <c r="F23" s="4"/>
    </row>
    <row r="24" customFormat="false" ht="15" hidden="false" customHeight="false" outlineLevel="0" collapsed="false">
      <c r="A24" s="4" t="s">
        <v>50</v>
      </c>
      <c r="B24" s="4" t="s">
        <v>279</v>
      </c>
      <c r="C24" s="4" t="s">
        <v>224</v>
      </c>
      <c r="D24" s="16" t="s">
        <v>225</v>
      </c>
      <c r="E24" s="4" t="s">
        <v>280</v>
      </c>
      <c r="F24" s="4" t="s">
        <v>281</v>
      </c>
    </row>
    <row r="25" customFormat="false" ht="15" hidden="false" customHeight="false" outlineLevel="0" collapsed="false">
      <c r="A25" s="4" t="s">
        <v>50</v>
      </c>
      <c r="B25" s="4" t="s">
        <v>282</v>
      </c>
      <c r="C25" s="4" t="s">
        <v>224</v>
      </c>
      <c r="D25" s="16" t="s">
        <v>225</v>
      </c>
      <c r="E25" s="4" t="s">
        <v>283</v>
      </c>
      <c r="F25" s="4" t="s">
        <v>281</v>
      </c>
    </row>
    <row r="26" customFormat="false" ht="15" hidden="false" customHeight="false" outlineLevel="0" collapsed="false">
      <c r="A26" s="4" t="s">
        <v>50</v>
      </c>
      <c r="B26" s="4" t="s">
        <v>284</v>
      </c>
      <c r="C26" s="4" t="s">
        <v>224</v>
      </c>
      <c r="D26" s="16" t="s">
        <v>225</v>
      </c>
      <c r="E26" s="4" t="s">
        <v>285</v>
      </c>
      <c r="F26" s="4" t="s">
        <v>281</v>
      </c>
    </row>
    <row r="27" customFormat="false" ht="15" hidden="false" customHeight="false" outlineLevel="0" collapsed="false">
      <c r="A27" s="4" t="s">
        <v>50</v>
      </c>
      <c r="B27" s="4" t="s">
        <v>286</v>
      </c>
      <c r="C27" s="4" t="s">
        <v>224</v>
      </c>
      <c r="D27" s="16" t="s">
        <v>225</v>
      </c>
      <c r="E27" s="4" t="s">
        <v>287</v>
      </c>
      <c r="F27" s="4" t="s">
        <v>288</v>
      </c>
    </row>
    <row r="28" customFormat="false" ht="15" hidden="false" customHeight="false" outlineLevel="0" collapsed="false">
      <c r="A28" s="4" t="s">
        <v>50</v>
      </c>
      <c r="B28" s="4" t="s">
        <v>289</v>
      </c>
      <c r="C28" s="4" t="s">
        <v>224</v>
      </c>
      <c r="D28" s="16" t="s">
        <v>225</v>
      </c>
      <c r="E28" s="4" t="s">
        <v>290</v>
      </c>
      <c r="F28" s="4" t="s">
        <v>291</v>
      </c>
    </row>
    <row r="29" customFormat="false" ht="15" hidden="false" customHeight="false" outlineLevel="0" collapsed="false">
      <c r="A29" s="4" t="s">
        <v>50</v>
      </c>
      <c r="B29" s="4" t="s">
        <v>292</v>
      </c>
      <c r="C29" s="4" t="s">
        <v>249</v>
      </c>
      <c r="D29" s="16" t="s">
        <v>225</v>
      </c>
      <c r="E29" s="4" t="s">
        <v>293</v>
      </c>
      <c r="F29" s="4" t="s">
        <v>294</v>
      </c>
    </row>
    <row r="30" customFormat="false" ht="15" hidden="false" customHeight="false" outlineLevel="0" collapsed="false">
      <c r="A30" s="4" t="s">
        <v>50</v>
      </c>
      <c r="B30" s="4" t="s">
        <v>295</v>
      </c>
      <c r="C30" s="4" t="s">
        <v>259</v>
      </c>
      <c r="D30" s="13" t="s">
        <v>234</v>
      </c>
      <c r="E30" s="4" t="s">
        <v>296</v>
      </c>
      <c r="F30" s="4" t="s">
        <v>297</v>
      </c>
    </row>
    <row r="31" customFormat="false" ht="15" hidden="false" customHeight="false" outlineLevel="0" collapsed="false">
      <c r="A31" s="4" t="s">
        <v>50</v>
      </c>
      <c r="B31" s="4" t="s">
        <v>298</v>
      </c>
      <c r="C31" s="4" t="s">
        <v>259</v>
      </c>
      <c r="D31" s="13" t="s">
        <v>234</v>
      </c>
      <c r="E31" s="4" t="s">
        <v>299</v>
      </c>
      <c r="F31" s="4" t="s">
        <v>300</v>
      </c>
    </row>
    <row r="32" customFormat="false" ht="15" hidden="false" customHeight="false" outlineLevel="0" collapsed="false">
      <c r="A32" s="4" t="s">
        <v>51</v>
      </c>
      <c r="B32" s="4" t="s">
        <v>301</v>
      </c>
      <c r="C32" s="4" t="s">
        <v>224</v>
      </c>
      <c r="D32" s="16" t="s">
        <v>225</v>
      </c>
      <c r="E32" s="4" t="s">
        <v>302</v>
      </c>
      <c r="F32" s="4"/>
    </row>
    <row r="33" customFormat="false" ht="15" hidden="false" customHeight="false" outlineLevel="0" collapsed="false">
      <c r="A33" s="4" t="s">
        <v>51</v>
      </c>
      <c r="B33" s="4" t="s">
        <v>303</v>
      </c>
      <c r="C33" s="4" t="s">
        <v>224</v>
      </c>
      <c r="D33" s="16" t="s">
        <v>225</v>
      </c>
      <c r="E33" s="4" t="s">
        <v>304</v>
      </c>
      <c r="F33" s="4"/>
    </row>
    <row r="34" customFormat="false" ht="15" hidden="false" customHeight="false" outlineLevel="0" collapsed="false">
      <c r="A34" s="4" t="s">
        <v>52</v>
      </c>
      <c r="B34" s="4" t="s">
        <v>305</v>
      </c>
      <c r="C34" s="4" t="s">
        <v>224</v>
      </c>
      <c r="D34" s="16" t="s">
        <v>225</v>
      </c>
      <c r="E34" s="4" t="s">
        <v>306</v>
      </c>
      <c r="F34" s="4"/>
    </row>
    <row r="35" customFormat="false" ht="15" hidden="false" customHeight="false" outlineLevel="0" collapsed="false">
      <c r="A35" s="4" t="s">
        <v>52</v>
      </c>
      <c r="B35" s="4" t="s">
        <v>307</v>
      </c>
      <c r="C35" s="4" t="s">
        <v>224</v>
      </c>
      <c r="D35" s="16" t="s">
        <v>225</v>
      </c>
      <c r="E35" s="4" t="s">
        <v>308</v>
      </c>
      <c r="F35" s="4"/>
    </row>
    <row r="36" customFormat="false" ht="15" hidden="false" customHeight="false" outlineLevel="0" collapsed="false">
      <c r="A36" s="4" t="s">
        <v>52</v>
      </c>
      <c r="B36" s="4" t="s">
        <v>309</v>
      </c>
      <c r="C36" s="4" t="s">
        <v>259</v>
      </c>
      <c r="D36" s="13" t="s">
        <v>234</v>
      </c>
      <c r="E36" s="4" t="s">
        <v>310</v>
      </c>
      <c r="F36" s="4" t="s">
        <v>311</v>
      </c>
    </row>
    <row r="37" customFormat="false" ht="15" hidden="false" customHeight="false" outlineLevel="0" collapsed="false">
      <c r="A37" s="4" t="s">
        <v>53</v>
      </c>
      <c r="B37" s="4" t="s">
        <v>312</v>
      </c>
      <c r="C37" s="4" t="s">
        <v>224</v>
      </c>
      <c r="D37" s="16" t="s">
        <v>225</v>
      </c>
      <c r="E37" s="4" t="s">
        <v>313</v>
      </c>
      <c r="F37" s="4"/>
    </row>
    <row r="38" customFormat="false" ht="15" hidden="false" customHeight="false" outlineLevel="0" collapsed="false">
      <c r="A38" s="4" t="s">
        <v>53</v>
      </c>
      <c r="B38" s="4" t="s">
        <v>314</v>
      </c>
      <c r="C38" s="4" t="s">
        <v>233</v>
      </c>
      <c r="D38" s="18" t="s">
        <v>315</v>
      </c>
      <c r="E38" s="4" t="s">
        <v>316</v>
      </c>
      <c r="F38" s="4"/>
    </row>
    <row r="39" customFormat="false" ht="15" hidden="false" customHeight="false" outlineLevel="0" collapsed="false">
      <c r="A39" s="4" t="s">
        <v>53</v>
      </c>
      <c r="B39" s="4" t="s">
        <v>317</v>
      </c>
      <c r="C39" s="4" t="s">
        <v>224</v>
      </c>
      <c r="D39" s="18" t="s">
        <v>315</v>
      </c>
      <c r="E39" s="4" t="s">
        <v>318</v>
      </c>
      <c r="F39" s="4"/>
    </row>
    <row r="40" customFormat="false" ht="15" hidden="false" customHeight="false" outlineLevel="0" collapsed="false">
      <c r="A40" s="4" t="s">
        <v>54</v>
      </c>
      <c r="B40" s="4" t="s">
        <v>312</v>
      </c>
      <c r="C40" s="4" t="s">
        <v>224</v>
      </c>
      <c r="D40" s="16" t="s">
        <v>225</v>
      </c>
      <c r="E40" s="4" t="s">
        <v>313</v>
      </c>
      <c r="F40" s="4"/>
    </row>
    <row r="41" customFormat="false" ht="15" hidden="false" customHeight="false" outlineLevel="0" collapsed="false">
      <c r="A41" s="4" t="s">
        <v>54</v>
      </c>
      <c r="B41" s="4" t="s">
        <v>314</v>
      </c>
      <c r="C41" s="4" t="s">
        <v>233</v>
      </c>
      <c r="D41" s="18" t="s">
        <v>315</v>
      </c>
      <c r="E41" s="4" t="s">
        <v>319</v>
      </c>
      <c r="F41" s="4"/>
    </row>
    <row r="42" customFormat="false" ht="15" hidden="false" customHeight="false" outlineLevel="0" collapsed="false">
      <c r="A42" s="4" t="s">
        <v>54</v>
      </c>
      <c r="B42" s="4" t="s">
        <v>317</v>
      </c>
      <c r="C42" s="4" t="s">
        <v>224</v>
      </c>
      <c r="D42" s="18" t="s">
        <v>315</v>
      </c>
      <c r="E42" s="4" t="s">
        <v>318</v>
      </c>
      <c r="F42" s="4"/>
    </row>
    <row r="43" customFormat="false" ht="15" hidden="false" customHeight="false" outlineLevel="0" collapsed="false">
      <c r="A43" s="4" t="s">
        <v>55</v>
      </c>
      <c r="B43" s="4" t="s">
        <v>320</v>
      </c>
      <c r="C43" s="4" t="s">
        <v>224</v>
      </c>
      <c r="D43" s="13" t="s">
        <v>234</v>
      </c>
      <c r="E43" s="4" t="s">
        <v>321</v>
      </c>
      <c r="F43" s="4" t="s">
        <v>322</v>
      </c>
    </row>
    <row r="44" customFormat="false" ht="15" hidden="false" customHeight="false" outlineLevel="0" collapsed="false">
      <c r="A44" s="4" t="s">
        <v>55</v>
      </c>
      <c r="B44" s="4" t="s">
        <v>323</v>
      </c>
      <c r="C44" s="4" t="s">
        <v>224</v>
      </c>
      <c r="D44" s="13" t="s">
        <v>234</v>
      </c>
      <c r="E44" s="4" t="s">
        <v>324</v>
      </c>
      <c r="F44" s="4" t="s">
        <v>325</v>
      </c>
    </row>
    <row r="45" customFormat="false" ht="15" hidden="false" customHeight="false" outlineLevel="0" collapsed="false">
      <c r="A45" s="4" t="s">
        <v>55</v>
      </c>
      <c r="B45" s="4" t="s">
        <v>271</v>
      </c>
      <c r="C45" s="4" t="s">
        <v>224</v>
      </c>
      <c r="D45" s="13" t="s">
        <v>234</v>
      </c>
      <c r="E45" s="4" t="s">
        <v>326</v>
      </c>
      <c r="F45" s="4" t="s">
        <v>327</v>
      </c>
    </row>
    <row r="46" customFormat="false" ht="15" hidden="false" customHeight="false" outlineLevel="0" collapsed="false">
      <c r="A46" s="4" t="s">
        <v>55</v>
      </c>
      <c r="B46" s="4" t="s">
        <v>328</v>
      </c>
      <c r="C46" s="4" t="s">
        <v>224</v>
      </c>
      <c r="D46" s="16" t="s">
        <v>225</v>
      </c>
      <c r="E46" s="4" t="s">
        <v>329</v>
      </c>
      <c r="F46" s="4" t="s">
        <v>330</v>
      </c>
    </row>
    <row r="47" customFormat="false" ht="15" hidden="false" customHeight="false" outlineLevel="0" collapsed="false">
      <c r="A47" s="4" t="s">
        <v>55</v>
      </c>
      <c r="B47" s="4" t="s">
        <v>331</v>
      </c>
      <c r="C47" s="4" t="s">
        <v>239</v>
      </c>
      <c r="D47" s="16" t="s">
        <v>225</v>
      </c>
      <c r="E47" s="4" t="s">
        <v>332</v>
      </c>
      <c r="F47" s="4"/>
    </row>
    <row r="48" customFormat="false" ht="15" hidden="false" customHeight="false" outlineLevel="0" collapsed="false">
      <c r="A48" s="4" t="s">
        <v>55</v>
      </c>
      <c r="B48" s="4" t="s">
        <v>333</v>
      </c>
      <c r="C48" s="4" t="s">
        <v>224</v>
      </c>
      <c r="D48" s="16" t="s">
        <v>225</v>
      </c>
      <c r="E48" s="4" t="s">
        <v>334</v>
      </c>
      <c r="F48" s="4" t="s">
        <v>335</v>
      </c>
    </row>
    <row r="49" customFormat="false" ht="15" hidden="false" customHeight="false" outlineLevel="0" collapsed="false">
      <c r="A49" s="4" t="s">
        <v>55</v>
      </c>
      <c r="B49" s="4" t="s">
        <v>336</v>
      </c>
      <c r="C49" s="4" t="s">
        <v>224</v>
      </c>
      <c r="D49" s="16" t="s">
        <v>225</v>
      </c>
      <c r="E49" s="4" t="s">
        <v>337</v>
      </c>
      <c r="F49" s="4" t="s">
        <v>338</v>
      </c>
    </row>
    <row r="50" customFormat="false" ht="15" hidden="false" customHeight="false" outlineLevel="0" collapsed="false">
      <c r="A50" s="4" t="s">
        <v>55</v>
      </c>
      <c r="B50" s="4" t="s">
        <v>339</v>
      </c>
      <c r="C50" s="4" t="s">
        <v>224</v>
      </c>
      <c r="D50" s="13" t="s">
        <v>234</v>
      </c>
      <c r="E50" s="4" t="s">
        <v>340</v>
      </c>
      <c r="F50" s="4" t="s">
        <v>341</v>
      </c>
    </row>
    <row r="51" customFormat="false" ht="15" hidden="false" customHeight="false" outlineLevel="0" collapsed="false">
      <c r="A51" s="4" t="s">
        <v>55</v>
      </c>
      <c r="B51" s="4" t="s">
        <v>342</v>
      </c>
      <c r="C51" s="4" t="s">
        <v>224</v>
      </c>
      <c r="D51" s="16" t="s">
        <v>225</v>
      </c>
      <c r="E51" s="4" t="s">
        <v>343</v>
      </c>
      <c r="F51" s="4" t="s">
        <v>344</v>
      </c>
    </row>
    <row r="52" customFormat="false" ht="15" hidden="false" customHeight="false" outlineLevel="0" collapsed="false">
      <c r="A52" s="4" t="s">
        <v>55</v>
      </c>
      <c r="B52" s="4" t="s">
        <v>345</v>
      </c>
      <c r="C52" s="4" t="s">
        <v>259</v>
      </c>
      <c r="D52" s="13" t="s">
        <v>234</v>
      </c>
      <c r="E52" s="4" t="s">
        <v>346</v>
      </c>
      <c r="F52" s="4" t="s">
        <v>347</v>
      </c>
    </row>
    <row r="54" customFormat="false" ht="15" hidden="false" customHeight="false" outlineLevel="0" collapsed="false">
      <c r="A54" s="10" t="s">
        <v>348</v>
      </c>
      <c r="B54" s="10"/>
      <c r="C54" s="10"/>
      <c r="D54" s="10" t="n">
        <f aca="false">COUNTIF(D5:D52,"Additive")</f>
        <v>17</v>
      </c>
      <c r="E54" s="10"/>
      <c r="F54" s="10"/>
    </row>
    <row r="55" customFormat="false" ht="15" hidden="false" customHeight="false" outlineLevel="0" collapsed="false">
      <c r="A55" s="10" t="s">
        <v>349</v>
      </c>
      <c r="B55" s="10"/>
      <c r="C55" s="10"/>
      <c r="D55" s="10" t="n">
        <f aca="false">COUNTIF(D5:D52,"Semi-additive")</f>
        <v>4</v>
      </c>
      <c r="E55" s="10"/>
      <c r="F55" s="10"/>
    </row>
    <row r="56" customFormat="false" ht="15" hidden="false" customHeight="false" outlineLevel="0" collapsed="false">
      <c r="A56" s="10" t="s">
        <v>350</v>
      </c>
      <c r="B56" s="10"/>
      <c r="C56" s="10"/>
      <c r="D56" s="10" t="n">
        <f aca="false">COUNTIF(D5:D52,"Non-additive")</f>
        <v>27</v>
      </c>
      <c r="E56" s="10"/>
      <c r="F5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351</v>
      </c>
    </row>
    <row r="4" customFormat="false" ht="15" hidden="false" customHeight="false" outlineLevel="0" collapsed="false">
      <c r="A4" s="3" t="s">
        <v>118</v>
      </c>
      <c r="B4" s="3" t="s">
        <v>352</v>
      </c>
      <c r="C4" s="3" t="s">
        <v>353</v>
      </c>
    </row>
    <row r="5" customFormat="false" ht="15" hidden="false" customHeight="false" outlineLevel="0" collapsed="false">
      <c r="A5" s="4" t="s">
        <v>40</v>
      </c>
      <c r="B5" s="4" t="s">
        <v>354</v>
      </c>
      <c r="C5" s="4" t="s">
        <v>355</v>
      </c>
    </row>
    <row r="6" customFormat="false" ht="15" hidden="false" customHeight="false" outlineLevel="0" collapsed="false">
      <c r="A6" s="4" t="s">
        <v>43</v>
      </c>
      <c r="B6" s="4" t="s">
        <v>356</v>
      </c>
      <c r="C6" s="4" t="s">
        <v>357</v>
      </c>
    </row>
    <row r="7" customFormat="false" ht="15" hidden="false" customHeight="false" outlineLevel="0" collapsed="false">
      <c r="A7" s="4" t="s">
        <v>42</v>
      </c>
      <c r="B7" s="4" t="s">
        <v>358</v>
      </c>
      <c r="C7" s="4" t="s">
        <v>359</v>
      </c>
    </row>
    <row r="8" customFormat="false" ht="15" hidden="false" customHeight="false" outlineLevel="0" collapsed="false">
      <c r="A8" s="4" t="s">
        <v>46</v>
      </c>
      <c r="B8" s="4" t="s">
        <v>360</v>
      </c>
      <c r="C8" s="4" t="s">
        <v>361</v>
      </c>
    </row>
    <row r="9" customFormat="false" ht="15" hidden="false" customHeight="false" outlineLevel="0" collapsed="false">
      <c r="A9" s="4" t="s">
        <v>44</v>
      </c>
      <c r="B9" s="4" t="s">
        <v>362</v>
      </c>
      <c r="C9" s="4" t="s">
        <v>363</v>
      </c>
    </row>
    <row r="10" customFormat="false" ht="15" hidden="false" customHeight="false" outlineLevel="0" collapsed="false">
      <c r="A10" s="4" t="s">
        <v>45</v>
      </c>
      <c r="B10" s="4" t="s">
        <v>364</v>
      </c>
      <c r="C10" s="4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123</v>
      </c>
    </row>
    <row r="3" customFormat="false" ht="15" hidden="false" customHeight="false" outlineLevel="0" collapsed="false">
      <c r="A3" s="19" t="s">
        <v>366</v>
      </c>
      <c r="B3" s="20" t="s">
        <v>118</v>
      </c>
    </row>
    <row r="4" customFormat="false" ht="15" hidden="false" customHeight="false" outlineLevel="0" collapsed="false">
      <c r="A4" s="19" t="s">
        <v>113</v>
      </c>
      <c r="B4" s="20" t="s">
        <v>120</v>
      </c>
    </row>
    <row r="5" customFormat="false" ht="15" hidden="false" customHeight="false" outlineLevel="0" collapsed="false">
      <c r="A5" s="19" t="s">
        <v>114</v>
      </c>
      <c r="B5" s="20" t="s">
        <v>121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15" hidden="false" customHeight="false" outlineLevel="0" collapsed="false">
      <c r="A8" s="21" t="s">
        <v>374</v>
      </c>
      <c r="B8" s="21" t="s">
        <v>224</v>
      </c>
      <c r="C8" s="21" t="s">
        <v>375</v>
      </c>
      <c r="D8" s="21" t="s">
        <v>119</v>
      </c>
      <c r="E8" s="21" t="s">
        <v>376</v>
      </c>
      <c r="F8" s="21" t="s">
        <v>377</v>
      </c>
      <c r="G8" s="21" t="s">
        <v>378</v>
      </c>
      <c r="H8" s="21" t="s">
        <v>379</v>
      </c>
      <c r="I8" s="22" t="s">
        <v>380</v>
      </c>
    </row>
    <row r="9" customFormat="false" ht="15" hidden="false" customHeight="false" outlineLevel="0" collapsed="false">
      <c r="A9" s="4" t="s">
        <v>381</v>
      </c>
      <c r="B9" s="4" t="s">
        <v>382</v>
      </c>
      <c r="C9" s="4"/>
      <c r="D9" s="4" t="s">
        <v>119</v>
      </c>
      <c r="E9" s="4" t="s">
        <v>376</v>
      </c>
      <c r="F9" s="4" t="s">
        <v>383</v>
      </c>
      <c r="G9" s="4" t="s">
        <v>378</v>
      </c>
      <c r="H9" s="4"/>
      <c r="I9" s="23" t="s">
        <v>384</v>
      </c>
    </row>
    <row r="10" customFormat="false" ht="15" hidden="false" customHeight="false" outlineLevel="0" collapsed="false">
      <c r="A10" s="4" t="s">
        <v>385</v>
      </c>
      <c r="B10" s="4" t="s">
        <v>259</v>
      </c>
      <c r="C10" s="4"/>
      <c r="D10" s="4" t="s">
        <v>119</v>
      </c>
      <c r="E10" s="4" t="s">
        <v>376</v>
      </c>
      <c r="F10" s="4" t="s">
        <v>386</v>
      </c>
      <c r="G10" s="4" t="s">
        <v>378</v>
      </c>
      <c r="H10" s="4" t="s">
        <v>387</v>
      </c>
      <c r="I10" s="23" t="s">
        <v>388</v>
      </c>
    </row>
    <row r="11" customFormat="false" ht="15" hidden="false" customHeight="false" outlineLevel="0" collapsed="false">
      <c r="A11" s="4" t="s">
        <v>389</v>
      </c>
      <c r="B11" s="4" t="s">
        <v>259</v>
      </c>
      <c r="C11" s="4"/>
      <c r="D11" s="4" t="s">
        <v>119</v>
      </c>
      <c r="E11" s="4" t="s">
        <v>376</v>
      </c>
      <c r="F11" s="4" t="s">
        <v>390</v>
      </c>
      <c r="G11" s="4" t="s">
        <v>378</v>
      </c>
      <c r="H11" s="4" t="s">
        <v>391</v>
      </c>
      <c r="I11" s="23" t="s">
        <v>143</v>
      </c>
    </row>
    <row r="12" customFormat="false" ht="15" hidden="false" customHeight="false" outlineLevel="0" collapsed="false">
      <c r="A12" s="4" t="s">
        <v>392</v>
      </c>
      <c r="B12" s="4" t="s">
        <v>393</v>
      </c>
      <c r="C12" s="4"/>
      <c r="D12" s="4" t="s">
        <v>119</v>
      </c>
      <c r="E12" s="4" t="s">
        <v>376</v>
      </c>
      <c r="F12" s="4" t="s">
        <v>394</v>
      </c>
      <c r="G12" s="4" t="s">
        <v>378</v>
      </c>
      <c r="H12" s="4" t="s">
        <v>395</v>
      </c>
      <c r="I12" s="23" t="s">
        <v>396</v>
      </c>
    </row>
    <row r="13" customFormat="false" ht="15" hidden="false" customHeight="false" outlineLevel="0" collapsed="false">
      <c r="A13" s="4" t="s">
        <v>397</v>
      </c>
      <c r="B13" s="4" t="s">
        <v>259</v>
      </c>
      <c r="C13" s="4"/>
      <c r="D13" s="4" t="s">
        <v>119</v>
      </c>
      <c r="E13" s="4" t="s">
        <v>376</v>
      </c>
      <c r="F13" s="4" t="s">
        <v>398</v>
      </c>
      <c r="G13" s="4" t="s">
        <v>378</v>
      </c>
      <c r="H13" s="4" t="s">
        <v>399</v>
      </c>
      <c r="I13" s="23" t="s">
        <v>400</v>
      </c>
    </row>
    <row r="14" customFormat="false" ht="15" hidden="false" customHeight="false" outlineLevel="0" collapsed="false">
      <c r="A14" s="4" t="s">
        <v>401</v>
      </c>
      <c r="B14" s="4" t="s">
        <v>402</v>
      </c>
      <c r="C14" s="4"/>
      <c r="D14" s="4" t="s">
        <v>119</v>
      </c>
      <c r="E14" s="4" t="s">
        <v>376</v>
      </c>
      <c r="F14" s="4" t="s">
        <v>403</v>
      </c>
      <c r="G14" s="4" t="s">
        <v>378</v>
      </c>
      <c r="H14" s="4" t="s">
        <v>404</v>
      </c>
      <c r="I14" s="23" t="s">
        <v>405</v>
      </c>
    </row>
    <row r="15" customFormat="false" ht="15" hidden="false" customHeight="false" outlineLevel="0" collapsed="false">
      <c r="A15" s="4" t="s">
        <v>191</v>
      </c>
      <c r="B15" s="4" t="s">
        <v>406</v>
      </c>
      <c r="C15" s="4"/>
      <c r="D15" s="4" t="s">
        <v>119</v>
      </c>
      <c r="E15" s="4" t="s">
        <v>376</v>
      </c>
      <c r="F15" s="4" t="s">
        <v>407</v>
      </c>
      <c r="G15" s="4" t="s">
        <v>378</v>
      </c>
      <c r="H15" s="4" t="s">
        <v>408</v>
      </c>
      <c r="I15" s="23" t="s">
        <v>409</v>
      </c>
    </row>
    <row r="16" customFormat="false" ht="15" hidden="false" customHeight="false" outlineLevel="0" collapsed="false">
      <c r="A16" s="4" t="s">
        <v>410</v>
      </c>
      <c r="B16" s="4" t="s">
        <v>259</v>
      </c>
      <c r="C16" s="4"/>
      <c r="D16" s="4" t="s">
        <v>119</v>
      </c>
      <c r="E16" s="4" t="s">
        <v>376</v>
      </c>
      <c r="F16" s="4" t="s">
        <v>411</v>
      </c>
      <c r="G16" s="4" t="s">
        <v>378</v>
      </c>
      <c r="H16" s="4" t="s">
        <v>412</v>
      </c>
      <c r="I16" s="23" t="s">
        <v>413</v>
      </c>
    </row>
    <row r="17" customFormat="false" ht="15" hidden="false" customHeight="false" outlineLevel="0" collapsed="false">
      <c r="A17" s="4" t="s">
        <v>414</v>
      </c>
      <c r="B17" s="4" t="s">
        <v>393</v>
      </c>
      <c r="C17" s="4"/>
      <c r="D17" s="4" t="s">
        <v>119</v>
      </c>
      <c r="E17" s="4" t="s">
        <v>376</v>
      </c>
      <c r="F17" s="4" t="s">
        <v>415</v>
      </c>
      <c r="G17" s="4" t="s">
        <v>378</v>
      </c>
      <c r="H17" s="4" t="s">
        <v>416</v>
      </c>
      <c r="I17" s="23" t="s">
        <v>417</v>
      </c>
    </row>
    <row r="18" customFormat="false" ht="15" hidden="false" customHeight="false" outlineLevel="0" collapsed="false">
      <c r="A18" s="4" t="s">
        <v>418</v>
      </c>
      <c r="B18" s="4" t="s">
        <v>406</v>
      </c>
      <c r="C18" s="4"/>
      <c r="D18" s="4" t="s">
        <v>119</v>
      </c>
      <c r="E18" s="4" t="s">
        <v>376</v>
      </c>
      <c r="F18" s="4" t="s">
        <v>419</v>
      </c>
      <c r="G18" s="4" t="s">
        <v>378</v>
      </c>
      <c r="H18" s="4" t="s">
        <v>420</v>
      </c>
      <c r="I18" s="23" t="s">
        <v>421</v>
      </c>
    </row>
    <row r="20" customFormat="false" ht="15" hidden="false" customHeight="false" outlineLevel="0" collapsed="false">
      <c r="A20" s="24" t="s">
        <v>422</v>
      </c>
    </row>
  </sheetData>
  <hyperlinks>
    <hyperlink ref="A20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127</v>
      </c>
    </row>
    <row r="3" customFormat="false" ht="15" hidden="false" customHeight="false" outlineLevel="0" collapsed="false">
      <c r="A3" s="19" t="s">
        <v>366</v>
      </c>
      <c r="B3" s="20" t="s">
        <v>118</v>
      </c>
    </row>
    <row r="4" customFormat="false" ht="15" hidden="false" customHeight="false" outlineLevel="0" collapsed="false">
      <c r="A4" s="19" t="s">
        <v>113</v>
      </c>
      <c r="B4" s="20" t="s">
        <v>124</v>
      </c>
    </row>
    <row r="5" customFormat="false" ht="15" hidden="false" customHeight="false" outlineLevel="0" collapsed="false">
      <c r="A5" s="19" t="s">
        <v>114</v>
      </c>
      <c r="B5" s="20" t="s">
        <v>125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15" hidden="false" customHeight="false" outlineLevel="0" collapsed="false">
      <c r="A8" s="21" t="s">
        <v>423</v>
      </c>
      <c r="B8" s="21" t="s">
        <v>424</v>
      </c>
      <c r="C8" s="21" t="s">
        <v>425</v>
      </c>
      <c r="D8" s="21" t="s">
        <v>119</v>
      </c>
      <c r="E8" s="21" t="s">
        <v>376</v>
      </c>
      <c r="F8" s="21" t="s">
        <v>426</v>
      </c>
      <c r="G8" s="21" t="s">
        <v>427</v>
      </c>
      <c r="H8" s="21" t="s">
        <v>428</v>
      </c>
      <c r="I8" s="22" t="s">
        <v>400</v>
      </c>
    </row>
    <row r="9" customFormat="false" ht="15" hidden="false" customHeight="false" outlineLevel="0" collapsed="false">
      <c r="A9" s="4" t="s">
        <v>429</v>
      </c>
      <c r="B9" s="4" t="s">
        <v>224</v>
      </c>
      <c r="C9" s="4" t="s">
        <v>430</v>
      </c>
      <c r="D9" s="4" t="s">
        <v>119</v>
      </c>
      <c r="E9" s="4" t="s">
        <v>376</v>
      </c>
      <c r="F9" s="4" t="s">
        <v>431</v>
      </c>
      <c r="G9" s="4" t="s">
        <v>432</v>
      </c>
      <c r="H9" s="4"/>
      <c r="I9" s="23" t="s">
        <v>400</v>
      </c>
    </row>
    <row r="10" customFormat="false" ht="15" hidden="false" customHeight="false" outlineLevel="0" collapsed="false">
      <c r="A10" s="4" t="s">
        <v>179</v>
      </c>
      <c r="B10" s="4" t="s">
        <v>433</v>
      </c>
      <c r="C10" s="4"/>
      <c r="D10" s="4" t="s">
        <v>400</v>
      </c>
      <c r="E10" s="4" t="s">
        <v>376</v>
      </c>
      <c r="F10" s="4" t="s">
        <v>434</v>
      </c>
      <c r="G10" s="4" t="s">
        <v>435</v>
      </c>
      <c r="H10" s="4"/>
      <c r="I10" s="23" t="s">
        <v>436</v>
      </c>
    </row>
    <row r="11" customFormat="false" ht="23.85" hidden="false" customHeight="false" outlineLevel="0" collapsed="false">
      <c r="A11" s="4" t="s">
        <v>182</v>
      </c>
      <c r="B11" s="4" t="s">
        <v>437</v>
      </c>
      <c r="C11" s="4"/>
      <c r="D11" s="4" t="s">
        <v>400</v>
      </c>
      <c r="E11" s="4" t="s">
        <v>376</v>
      </c>
      <c r="F11" s="4" t="s">
        <v>438</v>
      </c>
      <c r="G11" s="4" t="s">
        <v>439</v>
      </c>
      <c r="H11" s="4"/>
      <c r="I11" s="23" t="s">
        <v>440</v>
      </c>
    </row>
    <row r="12" customFormat="false" ht="15" hidden="false" customHeight="false" outlineLevel="0" collapsed="false">
      <c r="A12" s="4" t="s">
        <v>183</v>
      </c>
      <c r="B12" s="4" t="s">
        <v>437</v>
      </c>
      <c r="C12" s="4"/>
      <c r="D12" s="4" t="s">
        <v>400</v>
      </c>
      <c r="E12" s="4" t="s">
        <v>376</v>
      </c>
      <c r="F12" s="4" t="s">
        <v>441</v>
      </c>
      <c r="G12" s="4" t="s">
        <v>442</v>
      </c>
      <c r="H12" s="4" t="s">
        <v>443</v>
      </c>
      <c r="I12" s="23" t="s">
        <v>444</v>
      </c>
    </row>
    <row r="13" customFormat="false" ht="15" hidden="false" customHeight="false" outlineLevel="0" collapsed="false">
      <c r="A13" s="4" t="s">
        <v>184</v>
      </c>
      <c r="B13" s="4" t="s">
        <v>433</v>
      </c>
      <c r="C13" s="4"/>
      <c r="D13" s="4" t="s">
        <v>400</v>
      </c>
      <c r="E13" s="4" t="s">
        <v>376</v>
      </c>
      <c r="F13" s="4" t="s">
        <v>445</v>
      </c>
      <c r="G13" s="4" t="s">
        <v>446</v>
      </c>
      <c r="H13" s="4" t="s">
        <v>447</v>
      </c>
      <c r="I13" s="23" t="s">
        <v>448</v>
      </c>
    </row>
    <row r="14" customFormat="false" ht="15" hidden="false" customHeight="false" outlineLevel="0" collapsed="false">
      <c r="A14" s="4" t="s">
        <v>185</v>
      </c>
      <c r="B14" s="4" t="s">
        <v>449</v>
      </c>
      <c r="C14" s="4"/>
      <c r="D14" s="4" t="s">
        <v>400</v>
      </c>
      <c r="E14" s="4" t="s">
        <v>376</v>
      </c>
      <c r="F14" s="4" t="s">
        <v>450</v>
      </c>
      <c r="G14" s="4" t="s">
        <v>451</v>
      </c>
      <c r="H14" s="4" t="s">
        <v>452</v>
      </c>
      <c r="I14" s="23" t="s">
        <v>453</v>
      </c>
    </row>
    <row r="15" customFormat="false" ht="15" hidden="false" customHeight="false" outlineLevel="0" collapsed="false">
      <c r="A15" s="4" t="s">
        <v>186</v>
      </c>
      <c r="B15" s="4" t="s">
        <v>454</v>
      </c>
      <c r="C15" s="4"/>
      <c r="D15" s="4" t="s">
        <v>400</v>
      </c>
      <c r="E15" s="4" t="s">
        <v>455</v>
      </c>
      <c r="F15" s="4" t="s">
        <v>456</v>
      </c>
      <c r="G15" s="4" t="s">
        <v>457</v>
      </c>
      <c r="H15" s="4"/>
      <c r="I15" s="23" t="s">
        <v>458</v>
      </c>
    </row>
    <row r="16" customFormat="false" ht="15" hidden="false" customHeight="false" outlineLevel="0" collapsed="false">
      <c r="A16" s="4" t="s">
        <v>187</v>
      </c>
      <c r="B16" s="4" t="s">
        <v>454</v>
      </c>
      <c r="C16" s="4"/>
      <c r="D16" s="4" t="s">
        <v>400</v>
      </c>
      <c r="E16" s="4" t="s">
        <v>455</v>
      </c>
      <c r="F16" s="4" t="s">
        <v>459</v>
      </c>
      <c r="G16" s="4" t="s">
        <v>460</v>
      </c>
      <c r="H16" s="4"/>
      <c r="I16" s="23" t="s">
        <v>461</v>
      </c>
    </row>
    <row r="17" customFormat="false" ht="15" hidden="false" customHeight="false" outlineLevel="0" collapsed="false">
      <c r="A17" s="4" t="s">
        <v>188</v>
      </c>
      <c r="B17" s="4" t="s">
        <v>224</v>
      </c>
      <c r="C17" s="4"/>
      <c r="D17" s="4" t="s">
        <v>400</v>
      </c>
      <c r="E17" s="4" t="s">
        <v>455</v>
      </c>
      <c r="F17" s="4" t="s">
        <v>462</v>
      </c>
      <c r="G17" s="4" t="s">
        <v>463</v>
      </c>
      <c r="H17" s="4"/>
      <c r="I17" s="23" t="s">
        <v>464</v>
      </c>
    </row>
    <row r="18" customFormat="false" ht="15" hidden="false" customHeight="false" outlineLevel="0" collapsed="false">
      <c r="A18" s="4" t="s">
        <v>465</v>
      </c>
      <c r="B18" s="4" t="s">
        <v>466</v>
      </c>
      <c r="C18" s="4" t="s">
        <v>467</v>
      </c>
      <c r="D18" s="4" t="s">
        <v>119</v>
      </c>
      <c r="E18" s="4" t="s">
        <v>376</v>
      </c>
      <c r="F18" s="4" t="s">
        <v>468</v>
      </c>
      <c r="G18" s="4" t="s">
        <v>469</v>
      </c>
      <c r="H18" s="4" t="s">
        <v>470</v>
      </c>
      <c r="I18" s="23"/>
    </row>
    <row r="19" customFormat="false" ht="15" hidden="false" customHeight="false" outlineLevel="0" collapsed="false">
      <c r="A19" s="4" t="s">
        <v>471</v>
      </c>
      <c r="B19" s="4" t="s">
        <v>466</v>
      </c>
      <c r="C19" s="4" t="s">
        <v>467</v>
      </c>
      <c r="D19" s="4" t="s">
        <v>119</v>
      </c>
      <c r="E19" s="4" t="s">
        <v>376</v>
      </c>
      <c r="F19" s="4" t="s">
        <v>472</v>
      </c>
      <c r="G19" s="4" t="s">
        <v>469</v>
      </c>
      <c r="H19" s="4" t="s">
        <v>470</v>
      </c>
      <c r="I19" s="23"/>
    </row>
    <row r="21" customFormat="false" ht="15" hidden="false" customHeight="false" outlineLevel="0" collapsed="false">
      <c r="A21" s="24" t="s">
        <v>422</v>
      </c>
    </row>
  </sheetData>
  <hyperlinks>
    <hyperlink ref="A21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130</v>
      </c>
    </row>
    <row r="3" customFormat="false" ht="15" hidden="false" customHeight="false" outlineLevel="0" collapsed="false">
      <c r="A3" s="19" t="s">
        <v>366</v>
      </c>
      <c r="B3" s="20" t="s">
        <v>118</v>
      </c>
    </row>
    <row r="4" customFormat="false" ht="15" hidden="false" customHeight="false" outlineLevel="0" collapsed="false">
      <c r="A4" s="19" t="s">
        <v>113</v>
      </c>
      <c r="B4" s="20" t="s">
        <v>128</v>
      </c>
    </row>
    <row r="5" customFormat="false" ht="15" hidden="false" customHeight="false" outlineLevel="0" collapsed="false">
      <c r="A5" s="19" t="s">
        <v>114</v>
      </c>
      <c r="B5" s="20" t="s">
        <v>125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15" hidden="false" customHeight="false" outlineLevel="0" collapsed="false">
      <c r="A8" s="21" t="s">
        <v>473</v>
      </c>
      <c r="B8" s="21" t="s">
        <v>424</v>
      </c>
      <c r="C8" s="21" t="s">
        <v>425</v>
      </c>
      <c r="D8" s="21" t="s">
        <v>119</v>
      </c>
      <c r="E8" s="21" t="s">
        <v>376</v>
      </c>
      <c r="F8" s="21" t="s">
        <v>426</v>
      </c>
      <c r="G8" s="21" t="s">
        <v>427</v>
      </c>
      <c r="H8" s="21" t="s">
        <v>428</v>
      </c>
      <c r="I8" s="22" t="s">
        <v>400</v>
      </c>
    </row>
    <row r="9" customFormat="false" ht="15" hidden="false" customHeight="false" outlineLevel="0" collapsed="false">
      <c r="A9" s="4" t="s">
        <v>474</v>
      </c>
      <c r="B9" s="4" t="s">
        <v>224</v>
      </c>
      <c r="C9" s="4" t="s">
        <v>475</v>
      </c>
      <c r="D9" s="4" t="s">
        <v>119</v>
      </c>
      <c r="E9" s="4" t="s">
        <v>376</v>
      </c>
      <c r="F9" s="4" t="s">
        <v>476</v>
      </c>
      <c r="G9" s="4" t="s">
        <v>477</v>
      </c>
      <c r="H9" s="4"/>
      <c r="I9" s="23" t="s">
        <v>478</v>
      </c>
    </row>
    <row r="10" customFormat="false" ht="15" hidden="false" customHeight="false" outlineLevel="0" collapsed="false">
      <c r="A10" s="4" t="s">
        <v>189</v>
      </c>
      <c r="B10" s="4" t="s">
        <v>437</v>
      </c>
      <c r="C10" s="4"/>
      <c r="D10" s="4" t="s">
        <v>400</v>
      </c>
      <c r="E10" s="4" t="s">
        <v>376</v>
      </c>
      <c r="F10" s="4" t="s">
        <v>479</v>
      </c>
      <c r="G10" s="4" t="s">
        <v>480</v>
      </c>
      <c r="H10" s="4"/>
      <c r="I10" s="23" t="s">
        <v>481</v>
      </c>
    </row>
    <row r="11" customFormat="false" ht="15" hidden="false" customHeight="false" outlineLevel="0" collapsed="false">
      <c r="A11" s="4" t="s">
        <v>190</v>
      </c>
      <c r="B11" s="4" t="s">
        <v>402</v>
      </c>
      <c r="C11" s="4"/>
      <c r="D11" s="4" t="s">
        <v>400</v>
      </c>
      <c r="E11" s="4" t="s">
        <v>376</v>
      </c>
      <c r="F11" s="4" t="s">
        <v>482</v>
      </c>
      <c r="G11" s="4" t="s">
        <v>483</v>
      </c>
      <c r="H11" s="4"/>
      <c r="I11" s="23" t="s">
        <v>405</v>
      </c>
    </row>
    <row r="12" customFormat="false" ht="15" hidden="false" customHeight="false" outlineLevel="0" collapsed="false">
      <c r="A12" s="4" t="s">
        <v>191</v>
      </c>
      <c r="B12" s="4" t="s">
        <v>406</v>
      </c>
      <c r="C12" s="4"/>
      <c r="D12" s="4" t="s">
        <v>400</v>
      </c>
      <c r="E12" s="4" t="s">
        <v>376</v>
      </c>
      <c r="F12" s="4" t="s">
        <v>407</v>
      </c>
      <c r="G12" s="4" t="s">
        <v>483</v>
      </c>
      <c r="H12" s="4" t="s">
        <v>484</v>
      </c>
      <c r="I12" s="23" t="s">
        <v>409</v>
      </c>
    </row>
    <row r="13" customFormat="false" ht="15" hidden="false" customHeight="false" outlineLevel="0" collapsed="false">
      <c r="A13" s="4" t="s">
        <v>192</v>
      </c>
      <c r="B13" s="4" t="s">
        <v>259</v>
      </c>
      <c r="C13" s="4"/>
      <c r="D13" s="4" t="s">
        <v>400</v>
      </c>
      <c r="E13" s="4" t="s">
        <v>376</v>
      </c>
      <c r="F13" s="4" t="s">
        <v>485</v>
      </c>
      <c r="G13" s="4" t="s">
        <v>486</v>
      </c>
      <c r="H13" s="4"/>
      <c r="I13" s="23" t="s">
        <v>400</v>
      </c>
    </row>
    <row r="14" customFormat="false" ht="15" hidden="false" customHeight="false" outlineLevel="0" collapsed="false">
      <c r="A14" s="4" t="s">
        <v>193</v>
      </c>
      <c r="B14" s="4" t="s">
        <v>259</v>
      </c>
      <c r="C14" s="4"/>
      <c r="D14" s="4" t="s">
        <v>400</v>
      </c>
      <c r="E14" s="4" t="s">
        <v>376</v>
      </c>
      <c r="F14" s="4" t="s">
        <v>487</v>
      </c>
      <c r="G14" s="4" t="s">
        <v>488</v>
      </c>
      <c r="H14" s="4" t="s">
        <v>489</v>
      </c>
      <c r="I14" s="23" t="s">
        <v>490</v>
      </c>
    </row>
    <row r="15" customFormat="false" ht="15" hidden="false" customHeight="false" outlineLevel="0" collapsed="false">
      <c r="A15" s="4" t="s">
        <v>194</v>
      </c>
      <c r="B15" s="4" t="s">
        <v>491</v>
      </c>
      <c r="C15" s="4"/>
      <c r="D15" s="4" t="s">
        <v>400</v>
      </c>
      <c r="E15" s="4" t="s">
        <v>376</v>
      </c>
      <c r="F15" s="4" t="s">
        <v>492</v>
      </c>
      <c r="G15" s="4" t="s">
        <v>488</v>
      </c>
      <c r="H15" s="4" t="s">
        <v>493</v>
      </c>
      <c r="I15" s="23" t="s">
        <v>494</v>
      </c>
    </row>
    <row r="16" customFormat="false" ht="15" hidden="false" customHeight="false" outlineLevel="0" collapsed="false">
      <c r="A16" s="4" t="s">
        <v>195</v>
      </c>
      <c r="B16" s="4" t="s">
        <v>382</v>
      </c>
      <c r="C16" s="4"/>
      <c r="D16" s="4" t="s">
        <v>400</v>
      </c>
      <c r="E16" s="4" t="s">
        <v>455</v>
      </c>
      <c r="F16" s="4" t="s">
        <v>495</v>
      </c>
      <c r="G16" s="4" t="s">
        <v>496</v>
      </c>
      <c r="H16" s="4"/>
      <c r="I16" s="23" t="s">
        <v>384</v>
      </c>
    </row>
    <row r="17" customFormat="false" ht="15" hidden="false" customHeight="false" outlineLevel="0" collapsed="false">
      <c r="A17" s="4" t="s">
        <v>196</v>
      </c>
      <c r="B17" s="4" t="s">
        <v>497</v>
      </c>
      <c r="C17" s="4"/>
      <c r="D17" s="4" t="s">
        <v>400</v>
      </c>
      <c r="E17" s="4" t="s">
        <v>455</v>
      </c>
      <c r="F17" s="4" t="s">
        <v>498</v>
      </c>
      <c r="G17" s="4" t="s">
        <v>499</v>
      </c>
      <c r="H17" s="4"/>
      <c r="I17" s="23" t="s">
        <v>500</v>
      </c>
    </row>
    <row r="18" customFormat="false" ht="15" hidden="false" customHeight="false" outlineLevel="0" collapsed="false">
      <c r="A18" s="4" t="s">
        <v>197</v>
      </c>
      <c r="B18" s="4" t="s">
        <v>449</v>
      </c>
      <c r="C18" s="4"/>
      <c r="D18" s="4" t="s">
        <v>400</v>
      </c>
      <c r="E18" s="4" t="s">
        <v>376</v>
      </c>
      <c r="F18" s="4" t="s">
        <v>501</v>
      </c>
      <c r="G18" s="4" t="s">
        <v>502</v>
      </c>
      <c r="H18" s="4" t="s">
        <v>503</v>
      </c>
      <c r="I18" s="23" t="s">
        <v>504</v>
      </c>
    </row>
    <row r="19" customFormat="false" ht="15" hidden="false" customHeight="false" outlineLevel="0" collapsed="false">
      <c r="A19" s="4" t="s">
        <v>465</v>
      </c>
      <c r="B19" s="4" t="s">
        <v>466</v>
      </c>
      <c r="C19" s="4" t="s">
        <v>467</v>
      </c>
      <c r="D19" s="4" t="s">
        <v>119</v>
      </c>
      <c r="E19" s="4" t="s">
        <v>376</v>
      </c>
      <c r="F19" s="4" t="s">
        <v>468</v>
      </c>
      <c r="G19" s="4" t="s">
        <v>469</v>
      </c>
      <c r="H19" s="4"/>
      <c r="I19" s="23"/>
    </row>
    <row r="20" customFormat="false" ht="15" hidden="false" customHeight="false" outlineLevel="0" collapsed="false">
      <c r="A20" s="4" t="s">
        <v>471</v>
      </c>
      <c r="B20" s="4" t="s">
        <v>466</v>
      </c>
      <c r="C20" s="4" t="s">
        <v>467</v>
      </c>
      <c r="D20" s="4" t="s">
        <v>119</v>
      </c>
      <c r="E20" s="4" t="s">
        <v>376</v>
      </c>
      <c r="F20" s="4" t="s">
        <v>472</v>
      </c>
      <c r="G20" s="4" t="s">
        <v>469</v>
      </c>
      <c r="H20" s="4"/>
      <c r="I20" s="23"/>
    </row>
    <row r="22" customFormat="false" ht="15" hidden="false" customHeight="false" outlineLevel="0" collapsed="false">
      <c r="A22" s="24" t="s">
        <v>422</v>
      </c>
    </row>
  </sheetData>
  <hyperlinks>
    <hyperlink ref="A22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134</v>
      </c>
    </row>
    <row r="3" customFormat="false" ht="15" hidden="false" customHeight="false" outlineLevel="0" collapsed="false">
      <c r="A3" s="19" t="s">
        <v>366</v>
      </c>
      <c r="B3" s="20" t="s">
        <v>118</v>
      </c>
    </row>
    <row r="4" customFormat="false" ht="15" hidden="false" customHeight="false" outlineLevel="0" collapsed="false">
      <c r="A4" s="19" t="s">
        <v>113</v>
      </c>
      <c r="B4" s="20" t="s">
        <v>131</v>
      </c>
    </row>
    <row r="5" customFormat="false" ht="15" hidden="false" customHeight="false" outlineLevel="0" collapsed="false">
      <c r="A5" s="19" t="s">
        <v>114</v>
      </c>
      <c r="B5" s="20" t="s">
        <v>132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23.85" hidden="false" customHeight="false" outlineLevel="0" collapsed="false">
      <c r="A8" s="21" t="s">
        <v>505</v>
      </c>
      <c r="B8" s="21" t="s">
        <v>424</v>
      </c>
      <c r="C8" s="21" t="s">
        <v>425</v>
      </c>
      <c r="D8" s="21" t="s">
        <v>119</v>
      </c>
      <c r="E8" s="21" t="s">
        <v>376</v>
      </c>
      <c r="F8" s="21" t="s">
        <v>506</v>
      </c>
      <c r="G8" s="21" t="s">
        <v>427</v>
      </c>
      <c r="H8" s="21" t="s">
        <v>428</v>
      </c>
      <c r="I8" s="22" t="s">
        <v>400</v>
      </c>
    </row>
    <row r="9" customFormat="false" ht="15" hidden="false" customHeight="false" outlineLevel="0" collapsed="false">
      <c r="A9" s="4" t="s">
        <v>507</v>
      </c>
      <c r="B9" s="4" t="s">
        <v>224</v>
      </c>
      <c r="C9" s="4" t="s">
        <v>508</v>
      </c>
      <c r="D9" s="4" t="s">
        <v>119</v>
      </c>
      <c r="E9" s="4" t="s">
        <v>376</v>
      </c>
      <c r="F9" s="4" t="s">
        <v>509</v>
      </c>
      <c r="G9" s="4" t="s">
        <v>510</v>
      </c>
      <c r="H9" s="4"/>
      <c r="I9" s="23" t="s">
        <v>400</v>
      </c>
    </row>
    <row r="10" customFormat="false" ht="15" hidden="false" customHeight="false" outlineLevel="0" collapsed="false">
      <c r="A10" s="4" t="s">
        <v>198</v>
      </c>
      <c r="B10" s="4" t="s">
        <v>433</v>
      </c>
      <c r="C10" s="4"/>
      <c r="D10" s="4" t="s">
        <v>400</v>
      </c>
      <c r="E10" s="4" t="s">
        <v>376</v>
      </c>
      <c r="F10" s="4" t="s">
        <v>434</v>
      </c>
      <c r="G10" s="4" t="s">
        <v>511</v>
      </c>
      <c r="H10" s="4"/>
      <c r="I10" s="23" t="s">
        <v>512</v>
      </c>
    </row>
    <row r="11" customFormat="false" ht="15" hidden="false" customHeight="false" outlineLevel="0" collapsed="false">
      <c r="A11" s="4" t="s">
        <v>199</v>
      </c>
      <c r="B11" s="4" t="s">
        <v>491</v>
      </c>
      <c r="C11" s="4"/>
      <c r="D11" s="4" t="s">
        <v>388</v>
      </c>
      <c r="E11" s="4" t="s">
        <v>376</v>
      </c>
      <c r="F11" s="4" t="s">
        <v>513</v>
      </c>
      <c r="G11" s="4" t="s">
        <v>514</v>
      </c>
      <c r="H11" s="4" t="s">
        <v>515</v>
      </c>
      <c r="I11" s="23" t="s">
        <v>516</v>
      </c>
    </row>
    <row r="12" customFormat="false" ht="15" hidden="false" customHeight="false" outlineLevel="0" collapsed="false">
      <c r="A12" s="4" t="s">
        <v>203</v>
      </c>
      <c r="B12" s="4" t="s">
        <v>491</v>
      </c>
      <c r="C12" s="4"/>
      <c r="D12" s="4" t="s">
        <v>388</v>
      </c>
      <c r="E12" s="4" t="s">
        <v>376</v>
      </c>
      <c r="F12" s="4" t="s">
        <v>517</v>
      </c>
      <c r="G12" s="4" t="s">
        <v>518</v>
      </c>
      <c r="H12" s="4" t="s">
        <v>515</v>
      </c>
      <c r="I12" s="23" t="s">
        <v>519</v>
      </c>
    </row>
    <row r="13" customFormat="false" ht="15" hidden="false" customHeight="false" outlineLevel="0" collapsed="false">
      <c r="A13" s="4" t="s">
        <v>204</v>
      </c>
      <c r="B13" s="4" t="s">
        <v>433</v>
      </c>
      <c r="C13" s="4"/>
      <c r="D13" s="4" t="s">
        <v>400</v>
      </c>
      <c r="E13" s="4" t="s">
        <v>376</v>
      </c>
      <c r="F13" s="4" t="s">
        <v>520</v>
      </c>
      <c r="G13" s="4" t="s">
        <v>521</v>
      </c>
      <c r="H13" s="4"/>
      <c r="I13" s="23" t="s">
        <v>522</v>
      </c>
    </row>
    <row r="14" customFormat="false" ht="15" hidden="false" customHeight="false" outlineLevel="0" collapsed="false">
      <c r="A14" s="4" t="s">
        <v>205</v>
      </c>
      <c r="B14" s="4" t="s">
        <v>433</v>
      </c>
      <c r="C14" s="4"/>
      <c r="D14" s="4" t="s">
        <v>400</v>
      </c>
      <c r="E14" s="4" t="s">
        <v>376</v>
      </c>
      <c r="F14" s="4" t="s">
        <v>523</v>
      </c>
      <c r="G14" s="4" t="s">
        <v>524</v>
      </c>
      <c r="H14" s="4"/>
      <c r="I14" s="23" t="s">
        <v>525</v>
      </c>
    </row>
    <row r="15" customFormat="false" ht="15" hidden="false" customHeight="false" outlineLevel="0" collapsed="false">
      <c r="A15" s="4" t="s">
        <v>206</v>
      </c>
      <c r="B15" s="4" t="s">
        <v>526</v>
      </c>
      <c r="C15" s="4"/>
      <c r="D15" s="4" t="s">
        <v>400</v>
      </c>
      <c r="E15" s="4" t="s">
        <v>376</v>
      </c>
      <c r="F15" s="4" t="s">
        <v>527</v>
      </c>
      <c r="G15" s="4" t="s">
        <v>528</v>
      </c>
      <c r="H15" s="4" t="s">
        <v>529</v>
      </c>
      <c r="I15" s="23" t="s">
        <v>530</v>
      </c>
    </row>
    <row r="16" customFormat="false" ht="15" hidden="false" customHeight="false" outlineLevel="0" collapsed="false">
      <c r="A16" s="4" t="s">
        <v>207</v>
      </c>
      <c r="B16" s="4" t="s">
        <v>382</v>
      </c>
      <c r="C16" s="4"/>
      <c r="D16" s="4" t="s">
        <v>400</v>
      </c>
      <c r="E16" s="4" t="s">
        <v>455</v>
      </c>
      <c r="F16" s="4" t="s">
        <v>531</v>
      </c>
      <c r="G16" s="4" t="s">
        <v>532</v>
      </c>
      <c r="H16" s="4"/>
      <c r="I16" s="23" t="s">
        <v>533</v>
      </c>
    </row>
    <row r="17" customFormat="false" ht="15" hidden="false" customHeight="false" outlineLevel="0" collapsed="false">
      <c r="A17" s="4" t="s">
        <v>208</v>
      </c>
      <c r="B17" s="4" t="s">
        <v>433</v>
      </c>
      <c r="C17" s="4"/>
      <c r="D17" s="4" t="s">
        <v>388</v>
      </c>
      <c r="E17" s="4" t="s">
        <v>376</v>
      </c>
      <c r="F17" s="4" t="s">
        <v>534</v>
      </c>
      <c r="G17" s="4" t="s">
        <v>535</v>
      </c>
      <c r="H17" s="4" t="s">
        <v>536</v>
      </c>
      <c r="I17" s="23" t="s">
        <v>537</v>
      </c>
    </row>
    <row r="18" customFormat="false" ht="15" hidden="false" customHeight="false" outlineLevel="0" collapsed="false">
      <c r="A18" s="4" t="s">
        <v>209</v>
      </c>
      <c r="B18" s="4" t="s">
        <v>433</v>
      </c>
      <c r="C18" s="4"/>
      <c r="D18" s="4" t="s">
        <v>388</v>
      </c>
      <c r="E18" s="4" t="s">
        <v>376</v>
      </c>
      <c r="F18" s="4" t="s">
        <v>538</v>
      </c>
      <c r="G18" s="4" t="s">
        <v>539</v>
      </c>
      <c r="H18" s="4" t="s">
        <v>540</v>
      </c>
      <c r="I18" s="23" t="s">
        <v>541</v>
      </c>
    </row>
    <row r="19" customFormat="false" ht="23.85" hidden="false" customHeight="false" outlineLevel="0" collapsed="false">
      <c r="A19" s="4" t="s">
        <v>542</v>
      </c>
      <c r="B19" s="4" t="s">
        <v>382</v>
      </c>
      <c r="C19" s="4" t="s">
        <v>543</v>
      </c>
      <c r="D19" s="4" t="s">
        <v>119</v>
      </c>
      <c r="E19" s="4" t="s">
        <v>376</v>
      </c>
      <c r="F19" s="4" t="s">
        <v>544</v>
      </c>
      <c r="G19" s="4" t="s">
        <v>469</v>
      </c>
      <c r="H19" s="4" t="s">
        <v>545</v>
      </c>
      <c r="I19" s="23" t="s">
        <v>546</v>
      </c>
    </row>
    <row r="20" customFormat="false" ht="15" hidden="false" customHeight="false" outlineLevel="0" collapsed="false">
      <c r="A20" s="4" t="s">
        <v>547</v>
      </c>
      <c r="B20" s="4" t="s">
        <v>382</v>
      </c>
      <c r="C20" s="4" t="s">
        <v>543</v>
      </c>
      <c r="D20" s="4" t="s">
        <v>119</v>
      </c>
      <c r="E20" s="4" t="s">
        <v>376</v>
      </c>
      <c r="F20" s="4" t="s">
        <v>548</v>
      </c>
      <c r="G20" s="4" t="s">
        <v>469</v>
      </c>
      <c r="H20" s="4" t="s">
        <v>549</v>
      </c>
      <c r="I20" s="23" t="s">
        <v>550</v>
      </c>
    </row>
    <row r="21" customFormat="false" ht="15" hidden="false" customHeight="false" outlineLevel="0" collapsed="false">
      <c r="A21" s="4" t="s">
        <v>551</v>
      </c>
      <c r="B21" s="4" t="s">
        <v>406</v>
      </c>
      <c r="C21" s="4" t="s">
        <v>543</v>
      </c>
      <c r="D21" s="4" t="s">
        <v>119</v>
      </c>
      <c r="E21" s="4" t="s">
        <v>376</v>
      </c>
      <c r="F21" s="4" t="s">
        <v>552</v>
      </c>
      <c r="G21" s="4" t="s">
        <v>469</v>
      </c>
      <c r="H21" s="4" t="s">
        <v>553</v>
      </c>
      <c r="I21" s="23" t="s">
        <v>554</v>
      </c>
    </row>
    <row r="22" customFormat="false" ht="15" hidden="false" customHeight="false" outlineLevel="0" collapsed="false">
      <c r="A22" s="4" t="s">
        <v>465</v>
      </c>
      <c r="B22" s="4" t="s">
        <v>466</v>
      </c>
      <c r="C22" s="4" t="s">
        <v>467</v>
      </c>
      <c r="D22" s="4" t="s">
        <v>119</v>
      </c>
      <c r="E22" s="4" t="s">
        <v>376</v>
      </c>
      <c r="F22" s="4" t="s">
        <v>468</v>
      </c>
      <c r="G22" s="4" t="s">
        <v>469</v>
      </c>
      <c r="H22" s="4"/>
      <c r="I22" s="23"/>
    </row>
    <row r="23" customFormat="false" ht="15" hidden="false" customHeight="false" outlineLevel="0" collapsed="false">
      <c r="A23" s="4" t="s">
        <v>471</v>
      </c>
      <c r="B23" s="4" t="s">
        <v>466</v>
      </c>
      <c r="C23" s="4" t="s">
        <v>467</v>
      </c>
      <c r="D23" s="4" t="s">
        <v>119</v>
      </c>
      <c r="E23" s="4" t="s">
        <v>376</v>
      </c>
      <c r="F23" s="4" t="s">
        <v>472</v>
      </c>
      <c r="G23" s="4" t="s">
        <v>469</v>
      </c>
      <c r="H23" s="4"/>
      <c r="I23" s="23"/>
    </row>
    <row r="25" customFormat="false" ht="15" hidden="false" customHeight="false" outlineLevel="0" collapsed="false">
      <c r="A25" s="24" t="s">
        <v>422</v>
      </c>
    </row>
  </sheetData>
  <hyperlinks>
    <hyperlink ref="A25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137</v>
      </c>
    </row>
    <row r="3" customFormat="false" ht="15" hidden="false" customHeight="false" outlineLevel="0" collapsed="false">
      <c r="A3" s="19" t="s">
        <v>366</v>
      </c>
      <c r="B3" s="20" t="s">
        <v>118</v>
      </c>
    </row>
    <row r="4" customFormat="false" ht="15" hidden="false" customHeight="false" outlineLevel="0" collapsed="false">
      <c r="A4" s="19" t="s">
        <v>113</v>
      </c>
      <c r="B4" s="20" t="s">
        <v>135</v>
      </c>
    </row>
    <row r="5" customFormat="false" ht="15" hidden="false" customHeight="false" outlineLevel="0" collapsed="false">
      <c r="A5" s="19" t="s">
        <v>114</v>
      </c>
      <c r="B5" s="20" t="s">
        <v>132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15" hidden="false" customHeight="false" outlineLevel="0" collapsed="false">
      <c r="A8" s="21" t="s">
        <v>555</v>
      </c>
      <c r="B8" s="21" t="s">
        <v>424</v>
      </c>
      <c r="C8" s="21" t="s">
        <v>425</v>
      </c>
      <c r="D8" s="21" t="s">
        <v>119</v>
      </c>
      <c r="E8" s="21" t="s">
        <v>376</v>
      </c>
      <c r="F8" s="21" t="s">
        <v>426</v>
      </c>
      <c r="G8" s="21" t="s">
        <v>427</v>
      </c>
      <c r="H8" s="21" t="s">
        <v>428</v>
      </c>
      <c r="I8" s="22" t="s">
        <v>400</v>
      </c>
    </row>
    <row r="9" customFormat="false" ht="23.85" hidden="false" customHeight="false" outlineLevel="0" collapsed="false">
      <c r="A9" s="4" t="s">
        <v>556</v>
      </c>
      <c r="B9" s="4" t="s">
        <v>224</v>
      </c>
      <c r="C9" s="4" t="s">
        <v>508</v>
      </c>
      <c r="D9" s="4" t="s">
        <v>119</v>
      </c>
      <c r="E9" s="4" t="s">
        <v>376</v>
      </c>
      <c r="F9" s="4" t="s">
        <v>557</v>
      </c>
      <c r="G9" s="4" t="s">
        <v>558</v>
      </c>
      <c r="H9" s="4"/>
      <c r="I9" s="23" t="s">
        <v>400</v>
      </c>
    </row>
    <row r="10" customFormat="false" ht="23.85" hidden="false" customHeight="false" outlineLevel="0" collapsed="false">
      <c r="A10" s="4" t="s">
        <v>210</v>
      </c>
      <c r="B10" s="4" t="s">
        <v>433</v>
      </c>
      <c r="C10" s="4"/>
      <c r="D10" s="4" t="s">
        <v>400</v>
      </c>
      <c r="E10" s="4" t="s">
        <v>376</v>
      </c>
      <c r="F10" s="4" t="s">
        <v>434</v>
      </c>
      <c r="G10" s="4" t="s">
        <v>559</v>
      </c>
      <c r="H10" s="4"/>
      <c r="I10" s="23" t="s">
        <v>560</v>
      </c>
    </row>
    <row r="11" customFormat="false" ht="15" hidden="false" customHeight="false" outlineLevel="0" collapsed="false">
      <c r="A11" s="4" t="s">
        <v>211</v>
      </c>
      <c r="B11" s="4" t="s">
        <v>437</v>
      </c>
      <c r="C11" s="4"/>
      <c r="D11" s="4" t="s">
        <v>388</v>
      </c>
      <c r="E11" s="4" t="s">
        <v>376</v>
      </c>
      <c r="F11" s="4" t="s">
        <v>561</v>
      </c>
      <c r="G11" s="4" t="s">
        <v>562</v>
      </c>
      <c r="H11" s="4"/>
      <c r="I11" s="23" t="s">
        <v>563</v>
      </c>
    </row>
    <row r="12" customFormat="false" ht="15" hidden="false" customHeight="false" outlineLevel="0" collapsed="false">
      <c r="A12" s="4" t="s">
        <v>208</v>
      </c>
      <c r="B12" s="4" t="s">
        <v>433</v>
      </c>
      <c r="C12" s="4"/>
      <c r="D12" s="4" t="s">
        <v>388</v>
      </c>
      <c r="E12" s="4" t="s">
        <v>376</v>
      </c>
      <c r="F12" s="4" t="s">
        <v>564</v>
      </c>
      <c r="G12" s="4" t="s">
        <v>565</v>
      </c>
      <c r="H12" s="4" t="s">
        <v>536</v>
      </c>
      <c r="I12" s="23" t="s">
        <v>537</v>
      </c>
    </row>
    <row r="13" customFormat="false" ht="15" hidden="false" customHeight="false" outlineLevel="0" collapsed="false">
      <c r="A13" s="4" t="s">
        <v>542</v>
      </c>
      <c r="B13" s="4" t="s">
        <v>382</v>
      </c>
      <c r="C13" s="4" t="s">
        <v>543</v>
      </c>
      <c r="D13" s="4" t="s">
        <v>119</v>
      </c>
      <c r="E13" s="4" t="s">
        <v>376</v>
      </c>
      <c r="F13" s="4" t="s">
        <v>544</v>
      </c>
      <c r="G13" s="4" t="s">
        <v>469</v>
      </c>
      <c r="H13" s="4"/>
      <c r="I13" s="23" t="s">
        <v>546</v>
      </c>
    </row>
    <row r="14" customFormat="false" ht="15" hidden="false" customHeight="false" outlineLevel="0" collapsed="false">
      <c r="A14" s="4" t="s">
        <v>547</v>
      </c>
      <c r="B14" s="4" t="s">
        <v>382</v>
      </c>
      <c r="C14" s="4" t="s">
        <v>543</v>
      </c>
      <c r="D14" s="4" t="s">
        <v>119</v>
      </c>
      <c r="E14" s="4" t="s">
        <v>376</v>
      </c>
      <c r="F14" s="4" t="s">
        <v>548</v>
      </c>
      <c r="G14" s="4" t="s">
        <v>469</v>
      </c>
      <c r="H14" s="4"/>
      <c r="I14" s="23" t="s">
        <v>550</v>
      </c>
    </row>
    <row r="15" customFormat="false" ht="15" hidden="false" customHeight="false" outlineLevel="0" collapsed="false">
      <c r="A15" s="4" t="s">
        <v>551</v>
      </c>
      <c r="B15" s="4" t="s">
        <v>406</v>
      </c>
      <c r="C15" s="4" t="s">
        <v>543</v>
      </c>
      <c r="D15" s="4" t="s">
        <v>119</v>
      </c>
      <c r="E15" s="4" t="s">
        <v>376</v>
      </c>
      <c r="F15" s="4" t="s">
        <v>552</v>
      </c>
      <c r="G15" s="4" t="s">
        <v>469</v>
      </c>
      <c r="H15" s="4"/>
      <c r="I15" s="23" t="s">
        <v>554</v>
      </c>
    </row>
    <row r="16" customFormat="false" ht="15" hidden="false" customHeight="false" outlineLevel="0" collapsed="false">
      <c r="A16" s="4" t="s">
        <v>465</v>
      </c>
      <c r="B16" s="4" t="s">
        <v>466</v>
      </c>
      <c r="C16" s="4" t="s">
        <v>467</v>
      </c>
      <c r="D16" s="4" t="s">
        <v>119</v>
      </c>
      <c r="E16" s="4" t="s">
        <v>376</v>
      </c>
      <c r="F16" s="4"/>
      <c r="G16" s="4" t="s">
        <v>469</v>
      </c>
      <c r="H16" s="4"/>
      <c r="I16" s="23"/>
    </row>
    <row r="17" customFormat="false" ht="15" hidden="false" customHeight="false" outlineLevel="0" collapsed="false">
      <c r="A17" s="4" t="s">
        <v>471</v>
      </c>
      <c r="B17" s="4" t="s">
        <v>466</v>
      </c>
      <c r="C17" s="4" t="s">
        <v>467</v>
      </c>
      <c r="D17" s="4" t="s">
        <v>119</v>
      </c>
      <c r="E17" s="4" t="s">
        <v>376</v>
      </c>
      <c r="F17" s="4"/>
      <c r="G17" s="4" t="s">
        <v>469</v>
      </c>
      <c r="H17" s="4"/>
      <c r="I17" s="23"/>
    </row>
    <row r="19" customFormat="false" ht="15" hidden="false" customHeight="false" outlineLevel="0" collapsed="false">
      <c r="A19" s="24" t="s">
        <v>422</v>
      </c>
    </row>
  </sheetData>
  <hyperlinks>
    <hyperlink ref="A19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140</v>
      </c>
    </row>
    <row r="3" customFormat="false" ht="15" hidden="false" customHeight="false" outlineLevel="0" collapsed="false">
      <c r="A3" s="19" t="s">
        <v>366</v>
      </c>
      <c r="B3" s="20" t="s">
        <v>118</v>
      </c>
    </row>
    <row r="4" customFormat="false" ht="15" hidden="false" customHeight="false" outlineLevel="0" collapsed="false">
      <c r="A4" s="19" t="s">
        <v>113</v>
      </c>
      <c r="B4" s="20" t="s">
        <v>138</v>
      </c>
    </row>
    <row r="5" customFormat="false" ht="15" hidden="false" customHeight="false" outlineLevel="0" collapsed="false">
      <c r="A5" s="19" t="s">
        <v>114</v>
      </c>
      <c r="B5" s="20" t="s">
        <v>125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15" hidden="false" customHeight="false" outlineLevel="0" collapsed="false">
      <c r="A8" s="21" t="s">
        <v>566</v>
      </c>
      <c r="B8" s="21" t="s">
        <v>424</v>
      </c>
      <c r="C8" s="21" t="s">
        <v>425</v>
      </c>
      <c r="D8" s="21" t="s">
        <v>119</v>
      </c>
      <c r="E8" s="21" t="s">
        <v>376</v>
      </c>
      <c r="F8" s="21" t="s">
        <v>426</v>
      </c>
      <c r="G8" s="21" t="s">
        <v>427</v>
      </c>
      <c r="H8" s="21" t="s">
        <v>428</v>
      </c>
      <c r="I8" s="22" t="s">
        <v>400</v>
      </c>
    </row>
    <row r="9" customFormat="false" ht="15" hidden="false" customHeight="false" outlineLevel="0" collapsed="false">
      <c r="A9" s="4" t="s">
        <v>567</v>
      </c>
      <c r="B9" s="4" t="s">
        <v>224</v>
      </c>
      <c r="C9" s="4" t="s">
        <v>475</v>
      </c>
      <c r="D9" s="4" t="s">
        <v>119</v>
      </c>
      <c r="E9" s="4" t="s">
        <v>376</v>
      </c>
      <c r="F9" s="4" t="s">
        <v>476</v>
      </c>
      <c r="G9" s="4" t="s">
        <v>568</v>
      </c>
      <c r="H9" s="4"/>
      <c r="I9" s="23" t="s">
        <v>400</v>
      </c>
    </row>
    <row r="10" customFormat="false" ht="15" hidden="false" customHeight="false" outlineLevel="0" collapsed="false">
      <c r="A10" s="4" t="s">
        <v>212</v>
      </c>
      <c r="B10" s="4" t="s">
        <v>433</v>
      </c>
      <c r="C10" s="4"/>
      <c r="D10" s="4" t="s">
        <v>400</v>
      </c>
      <c r="E10" s="4" t="s">
        <v>376</v>
      </c>
      <c r="F10" s="4" t="s">
        <v>569</v>
      </c>
      <c r="G10" s="4" t="s">
        <v>570</v>
      </c>
      <c r="H10" s="4"/>
      <c r="I10" s="23" t="s">
        <v>571</v>
      </c>
    </row>
    <row r="11" customFormat="false" ht="15" hidden="false" customHeight="false" outlineLevel="0" collapsed="false">
      <c r="A11" s="4" t="s">
        <v>213</v>
      </c>
      <c r="B11" s="4" t="s">
        <v>572</v>
      </c>
      <c r="C11" s="4"/>
      <c r="D11" s="4" t="s">
        <v>400</v>
      </c>
      <c r="E11" s="4" t="s">
        <v>376</v>
      </c>
      <c r="F11" s="4" t="s">
        <v>573</v>
      </c>
      <c r="G11" s="4" t="s">
        <v>570</v>
      </c>
      <c r="H11" s="4" t="s">
        <v>574</v>
      </c>
      <c r="I11" s="23" t="s">
        <v>571</v>
      </c>
    </row>
    <row r="12" customFormat="false" ht="15" hidden="false" customHeight="false" outlineLevel="0" collapsed="false">
      <c r="A12" s="4" t="s">
        <v>214</v>
      </c>
      <c r="B12" s="4" t="s">
        <v>449</v>
      </c>
      <c r="C12" s="4"/>
      <c r="D12" s="4" t="s">
        <v>400</v>
      </c>
      <c r="E12" s="4" t="s">
        <v>376</v>
      </c>
      <c r="F12" s="4" t="s">
        <v>575</v>
      </c>
      <c r="G12" s="4" t="s">
        <v>213</v>
      </c>
      <c r="H12" s="4" t="s">
        <v>576</v>
      </c>
      <c r="I12" s="23" t="s">
        <v>577</v>
      </c>
    </row>
    <row r="13" customFormat="false" ht="15" hidden="false" customHeight="false" outlineLevel="0" collapsed="false">
      <c r="A13" s="4" t="s">
        <v>465</v>
      </c>
      <c r="B13" s="4" t="s">
        <v>466</v>
      </c>
      <c r="C13" s="4" t="s">
        <v>467</v>
      </c>
      <c r="D13" s="4" t="s">
        <v>119</v>
      </c>
      <c r="E13" s="4" t="s">
        <v>376</v>
      </c>
      <c r="F13" s="4"/>
      <c r="G13" s="4" t="s">
        <v>469</v>
      </c>
      <c r="H13" s="4"/>
      <c r="I13" s="23"/>
    </row>
    <row r="14" customFormat="false" ht="15" hidden="false" customHeight="false" outlineLevel="0" collapsed="false">
      <c r="A14" s="4" t="s">
        <v>471</v>
      </c>
      <c r="B14" s="4" t="s">
        <v>466</v>
      </c>
      <c r="C14" s="4" t="s">
        <v>467</v>
      </c>
      <c r="D14" s="4" t="s">
        <v>119</v>
      </c>
      <c r="E14" s="4" t="s">
        <v>376</v>
      </c>
      <c r="F14" s="4"/>
      <c r="G14" s="4" t="s">
        <v>469</v>
      </c>
      <c r="H14" s="4"/>
      <c r="I14" s="23"/>
    </row>
    <row r="16" customFormat="false" ht="15" hidden="false" customHeight="false" outlineLevel="0" collapsed="false">
      <c r="A16" s="24" t="s">
        <v>422</v>
      </c>
    </row>
  </sheetData>
  <hyperlinks>
    <hyperlink ref="A16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144</v>
      </c>
    </row>
    <row r="3" customFormat="false" ht="15" hidden="false" customHeight="false" outlineLevel="0" collapsed="false">
      <c r="A3" s="19" t="s">
        <v>366</v>
      </c>
      <c r="B3" s="20" t="s">
        <v>118</v>
      </c>
    </row>
    <row r="4" customFormat="false" ht="15" hidden="false" customHeight="false" outlineLevel="0" collapsed="false">
      <c r="A4" s="19" t="s">
        <v>113</v>
      </c>
      <c r="B4" s="20" t="s">
        <v>141</v>
      </c>
    </row>
    <row r="5" customFormat="false" ht="15" hidden="false" customHeight="false" outlineLevel="0" collapsed="false">
      <c r="A5" s="19" t="s">
        <v>114</v>
      </c>
      <c r="B5" s="20" t="s">
        <v>142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15" hidden="false" customHeight="false" outlineLevel="0" collapsed="false">
      <c r="A8" s="21" t="s">
        <v>578</v>
      </c>
      <c r="B8" s="21" t="s">
        <v>224</v>
      </c>
      <c r="C8" s="21" t="s">
        <v>579</v>
      </c>
      <c r="D8" s="21" t="s">
        <v>119</v>
      </c>
      <c r="E8" s="21" t="s">
        <v>376</v>
      </c>
      <c r="F8" s="21" t="s">
        <v>580</v>
      </c>
      <c r="G8" s="21" t="s">
        <v>581</v>
      </c>
      <c r="H8" s="21"/>
      <c r="I8" s="22" t="s">
        <v>400</v>
      </c>
    </row>
    <row r="9" customFormat="false" ht="15" hidden="false" customHeight="false" outlineLevel="0" collapsed="false">
      <c r="A9" s="4" t="s">
        <v>582</v>
      </c>
      <c r="B9" s="4" t="s">
        <v>449</v>
      </c>
      <c r="C9" s="4"/>
      <c r="D9" s="4" t="s">
        <v>119</v>
      </c>
      <c r="E9" s="4" t="s">
        <v>376</v>
      </c>
      <c r="F9" s="4" t="s">
        <v>583</v>
      </c>
      <c r="G9" s="4" t="s">
        <v>584</v>
      </c>
      <c r="H9" s="4"/>
      <c r="I9" s="23" t="s">
        <v>585</v>
      </c>
    </row>
    <row r="10" customFormat="false" ht="15" hidden="false" customHeight="false" outlineLevel="0" collapsed="false">
      <c r="A10" s="4" t="s">
        <v>586</v>
      </c>
      <c r="B10" s="4" t="s">
        <v>433</v>
      </c>
      <c r="C10" s="4"/>
      <c r="D10" s="4" t="s">
        <v>119</v>
      </c>
      <c r="E10" s="4" t="s">
        <v>376</v>
      </c>
      <c r="F10" s="4" t="s">
        <v>587</v>
      </c>
      <c r="G10" s="4" t="s">
        <v>584</v>
      </c>
      <c r="H10" s="4"/>
      <c r="I10" s="23" t="s">
        <v>588</v>
      </c>
    </row>
    <row r="12" customFormat="false" ht="15" hidden="false" customHeight="false" outlineLevel="0" collapsed="false">
      <c r="A12" s="24" t="s">
        <v>422</v>
      </c>
    </row>
  </sheetData>
  <hyperlinks>
    <hyperlink ref="A12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148</v>
      </c>
    </row>
    <row r="3" customFormat="false" ht="15" hidden="false" customHeight="false" outlineLevel="0" collapsed="false">
      <c r="A3" s="19" t="s">
        <v>366</v>
      </c>
      <c r="B3" s="20" t="s">
        <v>118</v>
      </c>
    </row>
    <row r="4" customFormat="false" ht="15" hidden="false" customHeight="false" outlineLevel="0" collapsed="false">
      <c r="A4" s="19" t="s">
        <v>113</v>
      </c>
      <c r="B4" s="20" t="s">
        <v>145</v>
      </c>
    </row>
    <row r="5" customFormat="false" ht="15" hidden="false" customHeight="false" outlineLevel="0" collapsed="false">
      <c r="A5" s="19" t="s">
        <v>114</v>
      </c>
      <c r="B5" s="20" t="s">
        <v>146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15" hidden="false" customHeight="false" outlineLevel="0" collapsed="false">
      <c r="A8" s="21" t="s">
        <v>589</v>
      </c>
      <c r="B8" s="21" t="s">
        <v>424</v>
      </c>
      <c r="C8" s="21" t="s">
        <v>425</v>
      </c>
      <c r="D8" s="21" t="s">
        <v>119</v>
      </c>
      <c r="E8" s="21" t="s">
        <v>376</v>
      </c>
      <c r="F8" s="21" t="s">
        <v>590</v>
      </c>
      <c r="G8" s="21" t="s">
        <v>427</v>
      </c>
      <c r="H8" s="21" t="s">
        <v>428</v>
      </c>
      <c r="I8" s="22" t="s">
        <v>400</v>
      </c>
    </row>
    <row r="9" customFormat="false" ht="15" hidden="false" customHeight="false" outlineLevel="0" collapsed="false">
      <c r="A9" s="4" t="s">
        <v>591</v>
      </c>
      <c r="B9" s="4" t="s">
        <v>437</v>
      </c>
      <c r="C9" s="4"/>
      <c r="D9" s="4" t="s">
        <v>119</v>
      </c>
      <c r="E9" s="4" t="s">
        <v>376</v>
      </c>
      <c r="F9" s="4" t="s">
        <v>592</v>
      </c>
      <c r="G9" s="4" t="s">
        <v>593</v>
      </c>
      <c r="H9" s="4"/>
      <c r="I9" s="23" t="s">
        <v>594</v>
      </c>
    </row>
    <row r="10" customFormat="false" ht="15" hidden="false" customHeight="false" outlineLevel="0" collapsed="false">
      <c r="A10" s="4" t="s">
        <v>595</v>
      </c>
      <c r="B10" s="4" t="s">
        <v>433</v>
      </c>
      <c r="C10" s="4"/>
      <c r="D10" s="4" t="s">
        <v>119</v>
      </c>
      <c r="E10" s="4" t="s">
        <v>376</v>
      </c>
      <c r="F10" s="4" t="s">
        <v>596</v>
      </c>
      <c r="G10" s="4" t="s">
        <v>593</v>
      </c>
      <c r="H10" s="4"/>
      <c r="I10" s="23" t="s">
        <v>597</v>
      </c>
    </row>
    <row r="11" customFormat="false" ht="15" hidden="false" customHeight="false" outlineLevel="0" collapsed="false">
      <c r="A11" s="4" t="s">
        <v>598</v>
      </c>
      <c r="B11" s="4" t="s">
        <v>466</v>
      </c>
      <c r="C11" s="4"/>
      <c r="D11" s="4" t="s">
        <v>119</v>
      </c>
      <c r="E11" s="4" t="s">
        <v>376</v>
      </c>
      <c r="F11" s="4" t="s">
        <v>599</v>
      </c>
      <c r="G11" s="4" t="s">
        <v>593</v>
      </c>
      <c r="H11" s="4"/>
      <c r="I11" s="23"/>
    </row>
    <row r="12" customFormat="false" ht="15" hidden="false" customHeight="false" outlineLevel="0" collapsed="false">
      <c r="A12" s="4" t="s">
        <v>600</v>
      </c>
      <c r="B12" s="4" t="s">
        <v>466</v>
      </c>
      <c r="C12" s="4"/>
      <c r="D12" s="4" t="s">
        <v>119</v>
      </c>
      <c r="E12" s="4" t="s">
        <v>455</v>
      </c>
      <c r="F12" s="4" t="s">
        <v>601</v>
      </c>
      <c r="G12" s="4" t="s">
        <v>593</v>
      </c>
      <c r="H12" s="4"/>
      <c r="I12" s="23"/>
    </row>
    <row r="13" customFormat="false" ht="15" hidden="false" customHeight="false" outlineLevel="0" collapsed="false">
      <c r="A13" s="4" t="s">
        <v>602</v>
      </c>
      <c r="B13" s="4" t="s">
        <v>449</v>
      </c>
      <c r="C13" s="4"/>
      <c r="D13" s="4" t="s">
        <v>119</v>
      </c>
      <c r="E13" s="4" t="s">
        <v>376</v>
      </c>
      <c r="F13" s="4" t="s">
        <v>603</v>
      </c>
      <c r="G13" s="4" t="s">
        <v>593</v>
      </c>
      <c r="H13" s="4"/>
      <c r="I13" s="23" t="s">
        <v>604</v>
      </c>
    </row>
    <row r="14" customFormat="false" ht="15" hidden="false" customHeight="false" outlineLevel="0" collapsed="false">
      <c r="A14" s="4" t="s">
        <v>605</v>
      </c>
      <c r="B14" s="4" t="s">
        <v>224</v>
      </c>
      <c r="C14" s="4"/>
      <c r="D14" s="4" t="s">
        <v>119</v>
      </c>
      <c r="E14" s="4" t="s">
        <v>455</v>
      </c>
      <c r="F14" s="4" t="s">
        <v>606</v>
      </c>
      <c r="G14" s="4" t="s">
        <v>593</v>
      </c>
      <c r="H14" s="4"/>
      <c r="I14" s="23" t="s">
        <v>607</v>
      </c>
    </row>
    <row r="15" customFormat="false" ht="15" hidden="false" customHeight="false" outlineLevel="0" collapsed="false">
      <c r="A15" s="4" t="s">
        <v>608</v>
      </c>
      <c r="B15" s="4" t="s">
        <v>609</v>
      </c>
      <c r="C15" s="4"/>
      <c r="D15" s="4" t="s">
        <v>119</v>
      </c>
      <c r="E15" s="4" t="s">
        <v>455</v>
      </c>
      <c r="F15" s="4" t="s">
        <v>610</v>
      </c>
      <c r="G15" s="4" t="s">
        <v>593</v>
      </c>
      <c r="H15" s="4" t="s">
        <v>611</v>
      </c>
      <c r="I15" s="23"/>
    </row>
    <row r="17" customFormat="false" ht="15" hidden="false" customHeight="false" outlineLevel="0" collapsed="false">
      <c r="A17" s="24" t="s">
        <v>422</v>
      </c>
    </row>
  </sheetData>
  <hyperlinks>
    <hyperlink ref="A17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153</v>
      </c>
    </row>
    <row r="3" customFormat="false" ht="15" hidden="false" customHeight="false" outlineLevel="0" collapsed="false">
      <c r="A3" s="19" t="s">
        <v>366</v>
      </c>
      <c r="B3" s="20" t="s">
        <v>612</v>
      </c>
    </row>
    <row r="4" customFormat="false" ht="15" hidden="false" customHeight="false" outlineLevel="0" collapsed="false">
      <c r="A4" s="19" t="s">
        <v>113</v>
      </c>
      <c r="B4" s="20" t="s">
        <v>150</v>
      </c>
    </row>
    <row r="5" customFormat="false" ht="15" hidden="false" customHeight="false" outlineLevel="0" collapsed="false">
      <c r="A5" s="19" t="s">
        <v>114</v>
      </c>
      <c r="B5" s="20" t="s">
        <v>151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15" hidden="false" customHeight="false" outlineLevel="0" collapsed="false">
      <c r="A8" s="21" t="s">
        <v>613</v>
      </c>
      <c r="B8" s="21" t="s">
        <v>614</v>
      </c>
      <c r="C8" s="21" t="s">
        <v>425</v>
      </c>
      <c r="D8" s="21" t="s">
        <v>119</v>
      </c>
      <c r="E8" s="21" t="s">
        <v>376</v>
      </c>
      <c r="F8" s="21" t="s">
        <v>615</v>
      </c>
      <c r="G8" s="21" t="s">
        <v>427</v>
      </c>
      <c r="H8" s="21" t="s">
        <v>428</v>
      </c>
      <c r="I8" s="22"/>
    </row>
    <row r="9" customFormat="false" ht="15" hidden="false" customHeight="false" outlineLevel="0" collapsed="false">
      <c r="A9" s="21" t="s">
        <v>616</v>
      </c>
      <c r="B9" s="21" t="s">
        <v>224</v>
      </c>
      <c r="C9" s="21" t="s">
        <v>617</v>
      </c>
      <c r="D9" s="21" t="s">
        <v>119</v>
      </c>
      <c r="E9" s="21" t="s">
        <v>376</v>
      </c>
      <c r="F9" s="21" t="s">
        <v>495</v>
      </c>
      <c r="G9" s="21" t="s">
        <v>618</v>
      </c>
      <c r="H9" s="21" t="s">
        <v>619</v>
      </c>
      <c r="I9" s="22"/>
    </row>
    <row r="10" customFormat="false" ht="15" hidden="false" customHeight="false" outlineLevel="0" collapsed="false">
      <c r="A10" s="21" t="s">
        <v>473</v>
      </c>
      <c r="B10" s="21" t="s">
        <v>224</v>
      </c>
      <c r="C10" s="21" t="s">
        <v>620</v>
      </c>
      <c r="D10" s="21" t="s">
        <v>119</v>
      </c>
      <c r="E10" s="21" t="s">
        <v>376</v>
      </c>
      <c r="F10" s="21" t="s">
        <v>621</v>
      </c>
      <c r="G10" s="21" t="s">
        <v>618</v>
      </c>
      <c r="H10" s="21" t="s">
        <v>619</v>
      </c>
      <c r="I10" s="22"/>
    </row>
    <row r="11" customFormat="false" ht="15" hidden="false" customHeight="false" outlineLevel="0" collapsed="false">
      <c r="A11" s="21" t="s">
        <v>423</v>
      </c>
      <c r="B11" s="21" t="s">
        <v>224</v>
      </c>
      <c r="C11" s="21" t="s">
        <v>622</v>
      </c>
      <c r="D11" s="21" t="s">
        <v>119</v>
      </c>
      <c r="E11" s="21" t="s">
        <v>376</v>
      </c>
      <c r="F11" s="21" t="s">
        <v>623</v>
      </c>
      <c r="G11" s="21" t="s">
        <v>618</v>
      </c>
      <c r="H11" s="21" t="s">
        <v>619</v>
      </c>
      <c r="I11" s="22"/>
    </row>
    <row r="12" customFormat="false" ht="23.85" hidden="false" customHeight="false" outlineLevel="0" collapsed="false">
      <c r="A12" s="21" t="s">
        <v>505</v>
      </c>
      <c r="B12" s="21" t="s">
        <v>224</v>
      </c>
      <c r="C12" s="21" t="s">
        <v>624</v>
      </c>
      <c r="D12" s="21" t="s">
        <v>119</v>
      </c>
      <c r="E12" s="21" t="s">
        <v>376</v>
      </c>
      <c r="F12" s="21" t="s">
        <v>625</v>
      </c>
      <c r="G12" s="21" t="s">
        <v>626</v>
      </c>
      <c r="H12" s="21" t="s">
        <v>627</v>
      </c>
      <c r="I12" s="22"/>
    </row>
    <row r="13" customFormat="false" ht="15" hidden="false" customHeight="false" outlineLevel="0" collapsed="false">
      <c r="A13" s="21" t="s">
        <v>555</v>
      </c>
      <c r="B13" s="21" t="s">
        <v>224</v>
      </c>
      <c r="C13" s="21" t="s">
        <v>628</v>
      </c>
      <c r="D13" s="21" t="s">
        <v>119</v>
      </c>
      <c r="E13" s="21" t="s">
        <v>376</v>
      </c>
      <c r="F13" s="21" t="s">
        <v>629</v>
      </c>
      <c r="G13" s="21" t="s">
        <v>630</v>
      </c>
      <c r="H13" s="21" t="s">
        <v>631</v>
      </c>
      <c r="I13" s="22"/>
    </row>
    <row r="14" customFormat="false" ht="15" hidden="false" customHeight="false" outlineLevel="0" collapsed="false">
      <c r="A14" s="21" t="s">
        <v>566</v>
      </c>
      <c r="B14" s="21" t="s">
        <v>224</v>
      </c>
      <c r="C14" s="21" t="s">
        <v>632</v>
      </c>
      <c r="D14" s="21" t="s">
        <v>119</v>
      </c>
      <c r="E14" s="21" t="s">
        <v>376</v>
      </c>
      <c r="F14" s="21" t="s">
        <v>633</v>
      </c>
      <c r="G14" s="21" t="s">
        <v>618</v>
      </c>
      <c r="H14" s="21" t="s">
        <v>619</v>
      </c>
      <c r="I14" s="22"/>
    </row>
    <row r="15" customFormat="false" ht="15" hidden="false" customHeight="false" outlineLevel="0" collapsed="false">
      <c r="A15" s="21" t="s">
        <v>578</v>
      </c>
      <c r="B15" s="21" t="s">
        <v>224</v>
      </c>
      <c r="C15" s="21" t="s">
        <v>634</v>
      </c>
      <c r="D15" s="21" t="s">
        <v>119</v>
      </c>
      <c r="E15" s="21" t="s">
        <v>376</v>
      </c>
      <c r="F15" s="21" t="s">
        <v>635</v>
      </c>
      <c r="G15" s="21" t="s">
        <v>618</v>
      </c>
      <c r="H15" s="21" t="s">
        <v>619</v>
      </c>
      <c r="I15" s="22"/>
    </row>
    <row r="16" customFormat="false" ht="15" hidden="false" customHeight="false" outlineLevel="0" collapsed="false">
      <c r="A16" s="21" t="s">
        <v>589</v>
      </c>
      <c r="B16" s="21" t="s">
        <v>224</v>
      </c>
      <c r="C16" s="21" t="s">
        <v>636</v>
      </c>
      <c r="D16" s="21" t="s">
        <v>119</v>
      </c>
      <c r="E16" s="21" t="s">
        <v>376</v>
      </c>
      <c r="F16" s="21" t="s">
        <v>637</v>
      </c>
      <c r="G16" s="21" t="s">
        <v>618</v>
      </c>
      <c r="H16" s="21" t="s">
        <v>619</v>
      </c>
      <c r="I16" s="22"/>
    </row>
    <row r="17" customFormat="false" ht="23.85" hidden="false" customHeight="false" outlineLevel="0" collapsed="false">
      <c r="A17" s="4" t="s">
        <v>638</v>
      </c>
      <c r="B17" s="4" t="s">
        <v>224</v>
      </c>
      <c r="C17" s="4" t="s">
        <v>639</v>
      </c>
      <c r="D17" s="4" t="s">
        <v>119</v>
      </c>
      <c r="E17" s="4" t="s">
        <v>376</v>
      </c>
      <c r="F17" s="4" t="s">
        <v>640</v>
      </c>
      <c r="G17" s="4" t="s">
        <v>641</v>
      </c>
      <c r="H17" s="4" t="s">
        <v>642</v>
      </c>
      <c r="I17" s="23" t="s">
        <v>400</v>
      </c>
    </row>
    <row r="18" customFormat="false" ht="15" hidden="false" customHeight="false" outlineLevel="0" collapsed="false">
      <c r="A18" s="4" t="s">
        <v>643</v>
      </c>
      <c r="B18" s="4" t="s">
        <v>224</v>
      </c>
      <c r="C18" s="4" t="s">
        <v>644</v>
      </c>
      <c r="D18" s="4" t="s">
        <v>119</v>
      </c>
      <c r="E18" s="4" t="s">
        <v>455</v>
      </c>
      <c r="F18" s="4" t="s">
        <v>645</v>
      </c>
      <c r="G18" s="4" t="s">
        <v>646</v>
      </c>
      <c r="H18" s="4"/>
      <c r="I18" s="23"/>
    </row>
    <row r="19" customFormat="false" ht="15" hidden="false" customHeight="false" outlineLevel="0" collapsed="false">
      <c r="A19" s="4" t="s">
        <v>223</v>
      </c>
      <c r="B19" s="4" t="s">
        <v>224</v>
      </c>
      <c r="C19" s="4" t="s">
        <v>647</v>
      </c>
      <c r="D19" s="4" t="s">
        <v>225</v>
      </c>
      <c r="E19" s="4" t="s">
        <v>455</v>
      </c>
      <c r="F19" s="4" t="s">
        <v>226</v>
      </c>
      <c r="G19" s="4" t="s">
        <v>648</v>
      </c>
      <c r="H19" s="4"/>
      <c r="I19" s="23" t="s">
        <v>400</v>
      </c>
    </row>
    <row r="20" customFormat="false" ht="15" hidden="false" customHeight="false" outlineLevel="0" collapsed="false">
      <c r="A20" s="4" t="s">
        <v>227</v>
      </c>
      <c r="B20" s="4" t="s">
        <v>224</v>
      </c>
      <c r="C20" s="4" t="s">
        <v>647</v>
      </c>
      <c r="D20" s="4" t="s">
        <v>225</v>
      </c>
      <c r="E20" s="4" t="s">
        <v>455</v>
      </c>
      <c r="F20" s="4" t="s">
        <v>228</v>
      </c>
      <c r="G20" s="4" t="s">
        <v>649</v>
      </c>
      <c r="H20" s="4" t="s">
        <v>229</v>
      </c>
      <c r="I20" s="23" t="s">
        <v>400</v>
      </c>
    </row>
    <row r="21" customFormat="false" ht="15" hidden="false" customHeight="false" outlineLevel="0" collapsed="false">
      <c r="A21" s="4" t="s">
        <v>230</v>
      </c>
      <c r="B21" s="4" t="s">
        <v>224</v>
      </c>
      <c r="C21" s="4" t="s">
        <v>647</v>
      </c>
      <c r="D21" s="4" t="s">
        <v>225</v>
      </c>
      <c r="E21" s="4" t="s">
        <v>376</v>
      </c>
      <c r="F21" s="4" t="s">
        <v>231</v>
      </c>
      <c r="G21" s="4" t="s">
        <v>650</v>
      </c>
      <c r="H21" s="4"/>
      <c r="I21" s="23" t="s">
        <v>400</v>
      </c>
    </row>
    <row r="22" customFormat="false" ht="15" hidden="false" customHeight="false" outlineLevel="0" collapsed="false">
      <c r="A22" s="4" t="s">
        <v>232</v>
      </c>
      <c r="B22" s="4" t="s">
        <v>233</v>
      </c>
      <c r="C22" s="4" t="s">
        <v>647</v>
      </c>
      <c r="D22" s="4" t="s">
        <v>234</v>
      </c>
      <c r="E22" s="4" t="s">
        <v>376</v>
      </c>
      <c r="F22" s="4" t="s">
        <v>235</v>
      </c>
      <c r="G22" s="4" t="s">
        <v>651</v>
      </c>
      <c r="H22" s="4"/>
      <c r="I22" s="23" t="s">
        <v>652</v>
      </c>
    </row>
    <row r="23" customFormat="false" ht="15" hidden="false" customHeight="false" outlineLevel="0" collapsed="false">
      <c r="A23" s="4" t="s">
        <v>236</v>
      </c>
      <c r="B23" s="4" t="s">
        <v>224</v>
      </c>
      <c r="C23" s="4" t="s">
        <v>647</v>
      </c>
      <c r="D23" s="4" t="s">
        <v>234</v>
      </c>
      <c r="E23" s="4" t="s">
        <v>376</v>
      </c>
      <c r="F23" s="4" t="s">
        <v>237</v>
      </c>
      <c r="G23" s="4" t="s">
        <v>653</v>
      </c>
      <c r="H23" s="4"/>
      <c r="I23" s="23" t="s">
        <v>654</v>
      </c>
    </row>
    <row r="24" customFormat="false" ht="15" hidden="false" customHeight="false" outlineLevel="0" collapsed="false">
      <c r="A24" s="4" t="s">
        <v>238</v>
      </c>
      <c r="B24" s="4" t="s">
        <v>239</v>
      </c>
      <c r="C24" s="4" t="s">
        <v>647</v>
      </c>
      <c r="D24" s="4" t="s">
        <v>225</v>
      </c>
      <c r="E24" s="4" t="s">
        <v>455</v>
      </c>
      <c r="F24" s="4" t="s">
        <v>240</v>
      </c>
      <c r="G24" s="4" t="s">
        <v>655</v>
      </c>
      <c r="H24" s="4"/>
      <c r="I24" s="23"/>
    </row>
    <row r="25" customFormat="false" ht="15" hidden="false" customHeight="false" outlineLevel="0" collapsed="false">
      <c r="A25" s="4" t="s">
        <v>241</v>
      </c>
      <c r="B25" s="4" t="s">
        <v>224</v>
      </c>
      <c r="C25" s="4" t="s">
        <v>647</v>
      </c>
      <c r="D25" s="4" t="s">
        <v>225</v>
      </c>
      <c r="E25" s="4" t="s">
        <v>455</v>
      </c>
      <c r="F25" s="4" t="s">
        <v>242</v>
      </c>
      <c r="G25" s="4" t="s">
        <v>656</v>
      </c>
      <c r="H25" s="4"/>
      <c r="I25" s="23"/>
    </row>
    <row r="26" customFormat="false" ht="15" hidden="false" customHeight="false" outlineLevel="0" collapsed="false">
      <c r="A26" s="4" t="s">
        <v>243</v>
      </c>
      <c r="B26" s="4" t="s">
        <v>224</v>
      </c>
      <c r="C26" s="4" t="s">
        <v>647</v>
      </c>
      <c r="D26" s="4" t="s">
        <v>225</v>
      </c>
      <c r="E26" s="4" t="s">
        <v>455</v>
      </c>
      <c r="F26" s="4" t="s">
        <v>244</v>
      </c>
      <c r="G26" s="4" t="s">
        <v>657</v>
      </c>
      <c r="H26" s="4"/>
      <c r="I26" s="23"/>
    </row>
    <row r="27" customFormat="false" ht="15" hidden="false" customHeight="false" outlineLevel="0" collapsed="false">
      <c r="A27" s="4" t="s">
        <v>245</v>
      </c>
      <c r="B27" s="4" t="s">
        <v>224</v>
      </c>
      <c r="C27" s="4" t="s">
        <v>647</v>
      </c>
      <c r="D27" s="4" t="s">
        <v>225</v>
      </c>
      <c r="E27" s="4" t="s">
        <v>455</v>
      </c>
      <c r="F27" s="4" t="s">
        <v>246</v>
      </c>
      <c r="G27" s="4" t="s">
        <v>658</v>
      </c>
      <c r="H27" s="4" t="s">
        <v>247</v>
      </c>
      <c r="I27" s="23" t="s">
        <v>659</v>
      </c>
    </row>
    <row r="28" customFormat="false" ht="15" hidden="false" customHeight="false" outlineLevel="0" collapsed="false">
      <c r="A28" s="4" t="s">
        <v>248</v>
      </c>
      <c r="B28" s="4" t="s">
        <v>249</v>
      </c>
      <c r="C28" s="4" t="s">
        <v>647</v>
      </c>
      <c r="D28" s="4" t="s">
        <v>225</v>
      </c>
      <c r="E28" s="4" t="s">
        <v>455</v>
      </c>
      <c r="F28" s="4" t="s">
        <v>250</v>
      </c>
      <c r="G28" s="4" t="s">
        <v>660</v>
      </c>
      <c r="H28" s="4"/>
      <c r="I28" s="23"/>
    </row>
    <row r="29" customFormat="false" ht="15" hidden="false" customHeight="false" outlineLevel="0" collapsed="false">
      <c r="A29" s="4" t="s">
        <v>251</v>
      </c>
      <c r="B29" s="4" t="s">
        <v>252</v>
      </c>
      <c r="C29" s="4" t="s">
        <v>647</v>
      </c>
      <c r="D29" s="4" t="s">
        <v>225</v>
      </c>
      <c r="E29" s="4" t="s">
        <v>455</v>
      </c>
      <c r="F29" s="4" t="s">
        <v>253</v>
      </c>
      <c r="G29" s="4" t="s">
        <v>661</v>
      </c>
      <c r="H29" s="4" t="s">
        <v>254</v>
      </c>
      <c r="I29" s="23" t="s">
        <v>662</v>
      </c>
    </row>
    <row r="30" customFormat="false" ht="15" hidden="false" customHeight="false" outlineLevel="0" collapsed="false">
      <c r="A30" s="4" t="s">
        <v>255</v>
      </c>
      <c r="B30" s="4" t="s">
        <v>224</v>
      </c>
      <c r="C30" s="4" t="s">
        <v>647</v>
      </c>
      <c r="D30" s="4" t="s">
        <v>234</v>
      </c>
      <c r="E30" s="4" t="s">
        <v>455</v>
      </c>
      <c r="F30" s="4" t="s">
        <v>256</v>
      </c>
      <c r="G30" s="4" t="s">
        <v>663</v>
      </c>
      <c r="H30" s="4" t="s">
        <v>257</v>
      </c>
      <c r="I30" s="23" t="s">
        <v>143</v>
      </c>
    </row>
    <row r="31" customFormat="false" ht="15" hidden="false" customHeight="false" outlineLevel="0" collapsed="false">
      <c r="A31" s="4" t="s">
        <v>258</v>
      </c>
      <c r="B31" s="4" t="s">
        <v>259</v>
      </c>
      <c r="C31" s="4" t="s">
        <v>664</v>
      </c>
      <c r="D31" s="4" t="s">
        <v>234</v>
      </c>
      <c r="E31" s="4" t="s">
        <v>376</v>
      </c>
      <c r="F31" s="4" t="s">
        <v>260</v>
      </c>
      <c r="G31" s="4" t="s">
        <v>649</v>
      </c>
      <c r="H31" s="4" t="s">
        <v>261</v>
      </c>
      <c r="I31" s="23" t="s">
        <v>400</v>
      </c>
    </row>
    <row r="32" customFormat="false" ht="15" hidden="false" customHeight="false" outlineLevel="0" collapsed="false">
      <c r="A32" s="4" t="s">
        <v>262</v>
      </c>
      <c r="B32" s="4" t="s">
        <v>259</v>
      </c>
      <c r="C32" s="4" t="s">
        <v>664</v>
      </c>
      <c r="D32" s="4" t="s">
        <v>234</v>
      </c>
      <c r="E32" s="4" t="s">
        <v>376</v>
      </c>
      <c r="F32" s="4" t="s">
        <v>263</v>
      </c>
      <c r="G32" s="4" t="s">
        <v>649</v>
      </c>
      <c r="H32" s="4" t="s">
        <v>264</v>
      </c>
      <c r="I32" s="23" t="s">
        <v>400</v>
      </c>
    </row>
    <row r="33" customFormat="false" ht="15" hidden="false" customHeight="false" outlineLevel="0" collapsed="false">
      <c r="A33" s="4" t="s">
        <v>265</v>
      </c>
      <c r="B33" s="4" t="s">
        <v>259</v>
      </c>
      <c r="C33" s="4" t="s">
        <v>664</v>
      </c>
      <c r="D33" s="4" t="s">
        <v>234</v>
      </c>
      <c r="E33" s="4" t="s">
        <v>376</v>
      </c>
      <c r="F33" s="4" t="s">
        <v>266</v>
      </c>
      <c r="G33" s="4" t="s">
        <v>648</v>
      </c>
      <c r="H33" s="4" t="s">
        <v>267</v>
      </c>
      <c r="I33" s="23" t="s">
        <v>400</v>
      </c>
    </row>
    <row r="34" customFormat="false" ht="15" hidden="false" customHeight="false" outlineLevel="0" collapsed="false">
      <c r="A34" s="4" t="s">
        <v>268</v>
      </c>
      <c r="B34" s="4" t="s">
        <v>259</v>
      </c>
      <c r="C34" s="4" t="s">
        <v>664</v>
      </c>
      <c r="D34" s="4" t="s">
        <v>234</v>
      </c>
      <c r="E34" s="4" t="s">
        <v>376</v>
      </c>
      <c r="F34" s="4" t="s">
        <v>269</v>
      </c>
      <c r="G34" s="4" t="s">
        <v>651</v>
      </c>
      <c r="H34" s="4" t="s">
        <v>270</v>
      </c>
      <c r="I34" s="23" t="s">
        <v>400</v>
      </c>
    </row>
    <row r="35" customFormat="false" ht="15" hidden="false" customHeight="false" outlineLevel="0" collapsed="false">
      <c r="A35" s="4" t="s">
        <v>271</v>
      </c>
      <c r="B35" s="4" t="s">
        <v>259</v>
      </c>
      <c r="C35" s="4" t="s">
        <v>664</v>
      </c>
      <c r="D35" s="4" t="s">
        <v>234</v>
      </c>
      <c r="E35" s="4" t="s">
        <v>376</v>
      </c>
      <c r="F35" s="4" t="s">
        <v>272</v>
      </c>
      <c r="G35" s="4" t="s">
        <v>46</v>
      </c>
      <c r="H35" s="4" t="s">
        <v>273</v>
      </c>
      <c r="I35" s="23" t="s">
        <v>665</v>
      </c>
    </row>
    <row r="36" customFormat="false" ht="15" hidden="false" customHeight="false" outlineLevel="0" collapsed="false">
      <c r="A36" s="4" t="s">
        <v>274</v>
      </c>
      <c r="B36" s="4" t="s">
        <v>259</v>
      </c>
      <c r="C36" s="4" t="s">
        <v>664</v>
      </c>
      <c r="D36" s="4" t="s">
        <v>234</v>
      </c>
      <c r="E36" s="4" t="s">
        <v>376</v>
      </c>
      <c r="F36" s="4" t="s">
        <v>275</v>
      </c>
      <c r="G36" s="4" t="s">
        <v>666</v>
      </c>
      <c r="H36" s="4" t="s">
        <v>276</v>
      </c>
      <c r="I36" s="23" t="s">
        <v>665</v>
      </c>
    </row>
    <row r="38" customFormat="false" ht="15" hidden="false" customHeight="false" outlineLevel="0" collapsed="false">
      <c r="A38" s="24" t="s">
        <v>422</v>
      </c>
    </row>
  </sheetData>
  <hyperlinks>
    <hyperlink ref="A38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156</v>
      </c>
    </row>
    <row r="3" customFormat="false" ht="15" hidden="false" customHeight="false" outlineLevel="0" collapsed="false">
      <c r="A3" s="19" t="s">
        <v>366</v>
      </c>
      <c r="B3" s="20" t="s">
        <v>612</v>
      </c>
    </row>
    <row r="4" customFormat="false" ht="15" hidden="false" customHeight="false" outlineLevel="0" collapsed="false">
      <c r="A4" s="19" t="s">
        <v>113</v>
      </c>
      <c r="B4" s="20" t="s">
        <v>154</v>
      </c>
    </row>
    <row r="5" customFormat="false" ht="15" hidden="false" customHeight="false" outlineLevel="0" collapsed="false">
      <c r="A5" s="19" t="s">
        <v>114</v>
      </c>
      <c r="B5" s="20" t="s">
        <v>151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15" hidden="false" customHeight="false" outlineLevel="0" collapsed="false">
      <c r="A8" s="21" t="s">
        <v>667</v>
      </c>
      <c r="B8" s="21" t="s">
        <v>614</v>
      </c>
      <c r="C8" s="21" t="s">
        <v>425</v>
      </c>
      <c r="D8" s="21" t="s">
        <v>119</v>
      </c>
      <c r="E8" s="21" t="s">
        <v>376</v>
      </c>
      <c r="F8" s="21" t="s">
        <v>615</v>
      </c>
      <c r="G8" s="21" t="s">
        <v>427</v>
      </c>
      <c r="H8" s="21"/>
      <c r="I8" s="22"/>
    </row>
    <row r="9" customFormat="false" ht="15" hidden="false" customHeight="false" outlineLevel="0" collapsed="false">
      <c r="A9" s="21" t="s">
        <v>616</v>
      </c>
      <c r="B9" s="21" t="s">
        <v>224</v>
      </c>
      <c r="C9" s="21" t="s">
        <v>617</v>
      </c>
      <c r="D9" s="21" t="s">
        <v>119</v>
      </c>
      <c r="E9" s="21" t="s">
        <v>376</v>
      </c>
      <c r="F9" s="21" t="s">
        <v>668</v>
      </c>
      <c r="G9" s="21" t="s">
        <v>618</v>
      </c>
      <c r="H9" s="21" t="s">
        <v>619</v>
      </c>
      <c r="I9" s="22"/>
    </row>
    <row r="10" customFormat="false" ht="15" hidden="false" customHeight="false" outlineLevel="0" collapsed="false">
      <c r="A10" s="21" t="s">
        <v>473</v>
      </c>
      <c r="B10" s="21" t="s">
        <v>224</v>
      </c>
      <c r="C10" s="21" t="s">
        <v>620</v>
      </c>
      <c r="D10" s="21" t="s">
        <v>119</v>
      </c>
      <c r="E10" s="21" t="s">
        <v>376</v>
      </c>
      <c r="F10" s="21" t="s">
        <v>621</v>
      </c>
      <c r="G10" s="21" t="s">
        <v>618</v>
      </c>
      <c r="H10" s="21" t="s">
        <v>619</v>
      </c>
      <c r="I10" s="22"/>
    </row>
    <row r="11" customFormat="false" ht="15" hidden="false" customHeight="false" outlineLevel="0" collapsed="false">
      <c r="A11" s="21" t="s">
        <v>423</v>
      </c>
      <c r="B11" s="21" t="s">
        <v>224</v>
      </c>
      <c r="C11" s="21" t="s">
        <v>622</v>
      </c>
      <c r="D11" s="21" t="s">
        <v>119</v>
      </c>
      <c r="E11" s="21" t="s">
        <v>376</v>
      </c>
      <c r="F11" s="21" t="s">
        <v>623</v>
      </c>
      <c r="G11" s="21" t="s">
        <v>618</v>
      </c>
      <c r="H11" s="21" t="s">
        <v>619</v>
      </c>
      <c r="I11" s="22"/>
    </row>
    <row r="12" customFormat="false" ht="15" hidden="false" customHeight="false" outlineLevel="0" collapsed="false">
      <c r="A12" s="21" t="s">
        <v>505</v>
      </c>
      <c r="B12" s="21" t="s">
        <v>224</v>
      </c>
      <c r="C12" s="21" t="s">
        <v>624</v>
      </c>
      <c r="D12" s="21" t="s">
        <v>119</v>
      </c>
      <c r="E12" s="21" t="s">
        <v>376</v>
      </c>
      <c r="F12" s="21" t="s">
        <v>631</v>
      </c>
      <c r="G12" s="21" t="s">
        <v>618</v>
      </c>
      <c r="H12" s="21" t="s">
        <v>619</v>
      </c>
      <c r="I12" s="22"/>
    </row>
    <row r="13" customFormat="false" ht="15" hidden="false" customHeight="false" outlineLevel="0" collapsed="false">
      <c r="A13" s="21" t="s">
        <v>555</v>
      </c>
      <c r="B13" s="21" t="s">
        <v>224</v>
      </c>
      <c r="C13" s="21" t="s">
        <v>628</v>
      </c>
      <c r="D13" s="21" t="s">
        <v>119</v>
      </c>
      <c r="E13" s="21" t="s">
        <v>376</v>
      </c>
      <c r="F13" s="21" t="s">
        <v>631</v>
      </c>
      <c r="G13" s="21" t="s">
        <v>618</v>
      </c>
      <c r="H13" s="21" t="s">
        <v>619</v>
      </c>
      <c r="I13" s="22"/>
    </row>
    <row r="14" customFormat="false" ht="15" hidden="false" customHeight="false" outlineLevel="0" collapsed="false">
      <c r="A14" s="21" t="s">
        <v>589</v>
      </c>
      <c r="B14" s="21" t="s">
        <v>224</v>
      </c>
      <c r="C14" s="21" t="s">
        <v>636</v>
      </c>
      <c r="D14" s="21" t="s">
        <v>119</v>
      </c>
      <c r="E14" s="21" t="s">
        <v>376</v>
      </c>
      <c r="F14" s="21" t="s">
        <v>669</v>
      </c>
      <c r="G14" s="21" t="s">
        <v>618</v>
      </c>
      <c r="H14" s="21" t="s">
        <v>619</v>
      </c>
      <c r="I14" s="22"/>
    </row>
    <row r="15" customFormat="false" ht="15" hidden="false" customHeight="false" outlineLevel="0" collapsed="false">
      <c r="A15" s="4" t="s">
        <v>670</v>
      </c>
      <c r="B15" s="4" t="s">
        <v>224</v>
      </c>
      <c r="C15" s="4" t="s">
        <v>644</v>
      </c>
      <c r="D15" s="4" t="s">
        <v>119</v>
      </c>
      <c r="E15" s="4" t="s">
        <v>376</v>
      </c>
      <c r="F15" s="4" t="s">
        <v>671</v>
      </c>
      <c r="G15" s="4" t="s">
        <v>672</v>
      </c>
      <c r="H15" s="4"/>
      <c r="I15" s="23"/>
    </row>
    <row r="16" customFormat="false" ht="15" hidden="false" customHeight="false" outlineLevel="0" collapsed="false">
      <c r="A16" s="4" t="s">
        <v>277</v>
      </c>
      <c r="B16" s="4" t="s">
        <v>224</v>
      </c>
      <c r="C16" s="4" t="s">
        <v>647</v>
      </c>
      <c r="D16" s="4" t="s">
        <v>225</v>
      </c>
      <c r="E16" s="4" t="s">
        <v>376</v>
      </c>
      <c r="F16" s="4" t="s">
        <v>278</v>
      </c>
      <c r="G16" s="4" t="s">
        <v>673</v>
      </c>
      <c r="H16" s="4"/>
      <c r="I16" s="23" t="s">
        <v>400</v>
      </c>
    </row>
    <row r="17" customFormat="false" ht="15" hidden="false" customHeight="false" outlineLevel="0" collapsed="false">
      <c r="A17" s="4" t="s">
        <v>279</v>
      </c>
      <c r="B17" s="4" t="s">
        <v>224</v>
      </c>
      <c r="C17" s="4" t="s">
        <v>647</v>
      </c>
      <c r="D17" s="4" t="s">
        <v>225</v>
      </c>
      <c r="E17" s="4" t="s">
        <v>455</v>
      </c>
      <c r="F17" s="4" t="s">
        <v>280</v>
      </c>
      <c r="G17" s="4" t="s">
        <v>674</v>
      </c>
      <c r="H17" s="4" t="s">
        <v>281</v>
      </c>
      <c r="I17" s="23" t="s">
        <v>675</v>
      </c>
    </row>
    <row r="18" customFormat="false" ht="15" hidden="false" customHeight="false" outlineLevel="0" collapsed="false">
      <c r="A18" s="4" t="s">
        <v>282</v>
      </c>
      <c r="B18" s="4" t="s">
        <v>224</v>
      </c>
      <c r="C18" s="4" t="s">
        <v>647</v>
      </c>
      <c r="D18" s="4" t="s">
        <v>225</v>
      </c>
      <c r="E18" s="4" t="s">
        <v>455</v>
      </c>
      <c r="F18" s="4" t="s">
        <v>283</v>
      </c>
      <c r="G18" s="4" t="s">
        <v>676</v>
      </c>
      <c r="H18" s="4" t="s">
        <v>281</v>
      </c>
      <c r="I18" s="23"/>
    </row>
    <row r="19" customFormat="false" ht="15" hidden="false" customHeight="false" outlineLevel="0" collapsed="false">
      <c r="A19" s="4" t="s">
        <v>284</v>
      </c>
      <c r="B19" s="4" t="s">
        <v>224</v>
      </c>
      <c r="C19" s="4" t="s">
        <v>647</v>
      </c>
      <c r="D19" s="4" t="s">
        <v>225</v>
      </c>
      <c r="E19" s="4" t="s">
        <v>455</v>
      </c>
      <c r="F19" s="4" t="s">
        <v>285</v>
      </c>
      <c r="G19" s="4" t="s">
        <v>677</v>
      </c>
      <c r="H19" s="4" t="s">
        <v>281</v>
      </c>
      <c r="I19" s="23"/>
    </row>
    <row r="20" customFormat="false" ht="15" hidden="false" customHeight="false" outlineLevel="0" collapsed="false">
      <c r="A20" s="4" t="s">
        <v>286</v>
      </c>
      <c r="B20" s="4" t="s">
        <v>224</v>
      </c>
      <c r="C20" s="4" t="s">
        <v>647</v>
      </c>
      <c r="D20" s="4" t="s">
        <v>225</v>
      </c>
      <c r="E20" s="4" t="s">
        <v>455</v>
      </c>
      <c r="F20" s="4" t="s">
        <v>287</v>
      </c>
      <c r="G20" s="4" t="s">
        <v>678</v>
      </c>
      <c r="H20" s="4" t="s">
        <v>288</v>
      </c>
      <c r="I20" s="23"/>
    </row>
    <row r="21" customFormat="false" ht="15" hidden="false" customHeight="false" outlineLevel="0" collapsed="false">
      <c r="A21" s="4" t="s">
        <v>289</v>
      </c>
      <c r="B21" s="4" t="s">
        <v>224</v>
      </c>
      <c r="C21" s="4" t="s">
        <v>647</v>
      </c>
      <c r="D21" s="4" t="s">
        <v>225</v>
      </c>
      <c r="E21" s="4" t="s">
        <v>455</v>
      </c>
      <c r="F21" s="4" t="s">
        <v>290</v>
      </c>
      <c r="G21" s="4" t="s">
        <v>286</v>
      </c>
      <c r="H21" s="4" t="s">
        <v>291</v>
      </c>
      <c r="I21" s="23"/>
    </row>
    <row r="22" customFormat="false" ht="15" hidden="false" customHeight="false" outlineLevel="0" collapsed="false">
      <c r="A22" s="4" t="s">
        <v>292</v>
      </c>
      <c r="B22" s="4" t="s">
        <v>249</v>
      </c>
      <c r="C22" s="4" t="s">
        <v>647</v>
      </c>
      <c r="D22" s="4" t="s">
        <v>225</v>
      </c>
      <c r="E22" s="4" t="s">
        <v>455</v>
      </c>
      <c r="F22" s="4" t="s">
        <v>293</v>
      </c>
      <c r="G22" s="4" t="s">
        <v>286</v>
      </c>
      <c r="H22" s="4" t="s">
        <v>294</v>
      </c>
      <c r="I22" s="23"/>
    </row>
    <row r="23" customFormat="false" ht="15" hidden="false" customHeight="false" outlineLevel="0" collapsed="false">
      <c r="A23" s="4" t="s">
        <v>295</v>
      </c>
      <c r="B23" s="4" t="s">
        <v>259</v>
      </c>
      <c r="C23" s="4" t="s">
        <v>664</v>
      </c>
      <c r="D23" s="4" t="s">
        <v>234</v>
      </c>
      <c r="E23" s="4" t="s">
        <v>376</v>
      </c>
      <c r="F23" s="4" t="s">
        <v>296</v>
      </c>
      <c r="G23" s="4" t="s">
        <v>679</v>
      </c>
      <c r="H23" s="4" t="s">
        <v>297</v>
      </c>
      <c r="I23" s="23"/>
    </row>
    <row r="24" customFormat="false" ht="15" hidden="false" customHeight="false" outlineLevel="0" collapsed="false">
      <c r="A24" s="4" t="s">
        <v>298</v>
      </c>
      <c r="B24" s="4" t="s">
        <v>259</v>
      </c>
      <c r="C24" s="4" t="s">
        <v>664</v>
      </c>
      <c r="D24" s="4" t="s">
        <v>234</v>
      </c>
      <c r="E24" s="4" t="s">
        <v>376</v>
      </c>
      <c r="F24" s="4" t="s">
        <v>299</v>
      </c>
      <c r="G24" s="4" t="s">
        <v>680</v>
      </c>
      <c r="H24" s="4" t="s">
        <v>300</v>
      </c>
      <c r="I24" s="23"/>
    </row>
    <row r="26" customFormat="false" ht="15" hidden="false" customHeight="false" outlineLevel="0" collapsed="false">
      <c r="A26" s="24" t="s">
        <v>422</v>
      </c>
    </row>
  </sheetData>
  <hyperlinks>
    <hyperlink ref="A26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159</v>
      </c>
    </row>
    <row r="3" customFormat="false" ht="15" hidden="false" customHeight="false" outlineLevel="0" collapsed="false">
      <c r="A3" s="19" t="s">
        <v>366</v>
      </c>
      <c r="B3" s="20" t="s">
        <v>612</v>
      </c>
    </row>
    <row r="4" customFormat="false" ht="15" hidden="false" customHeight="false" outlineLevel="0" collapsed="false">
      <c r="A4" s="19" t="s">
        <v>113</v>
      </c>
      <c r="B4" s="20" t="s">
        <v>157</v>
      </c>
    </row>
    <row r="5" customFormat="false" ht="15" hidden="false" customHeight="false" outlineLevel="0" collapsed="false">
      <c r="A5" s="19" t="s">
        <v>114</v>
      </c>
      <c r="B5" s="20" t="s">
        <v>151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15" hidden="false" customHeight="false" outlineLevel="0" collapsed="false">
      <c r="A8" s="21" t="s">
        <v>616</v>
      </c>
      <c r="B8" s="21" t="s">
        <v>224</v>
      </c>
      <c r="C8" s="21" t="s">
        <v>617</v>
      </c>
      <c r="D8" s="21" t="s">
        <v>119</v>
      </c>
      <c r="E8" s="21" t="s">
        <v>376</v>
      </c>
      <c r="F8" s="21" t="s">
        <v>668</v>
      </c>
      <c r="G8" s="21" t="s">
        <v>618</v>
      </c>
      <c r="H8" s="21" t="s">
        <v>619</v>
      </c>
      <c r="I8" s="22"/>
    </row>
    <row r="9" customFormat="false" ht="15" hidden="false" customHeight="false" outlineLevel="0" collapsed="false">
      <c r="A9" s="21" t="s">
        <v>473</v>
      </c>
      <c r="B9" s="21" t="s">
        <v>224</v>
      </c>
      <c r="C9" s="21" t="s">
        <v>681</v>
      </c>
      <c r="D9" s="21" t="s">
        <v>119</v>
      </c>
      <c r="E9" s="21" t="s">
        <v>376</v>
      </c>
      <c r="F9" s="21" t="s">
        <v>682</v>
      </c>
      <c r="G9" s="21" t="s">
        <v>683</v>
      </c>
      <c r="H9" s="21" t="s">
        <v>684</v>
      </c>
      <c r="I9" s="22"/>
    </row>
    <row r="10" customFormat="false" ht="15" hidden="false" customHeight="false" outlineLevel="0" collapsed="false">
      <c r="A10" s="21" t="s">
        <v>423</v>
      </c>
      <c r="B10" s="21" t="s">
        <v>224</v>
      </c>
      <c r="C10" s="21" t="s">
        <v>622</v>
      </c>
      <c r="D10" s="21" t="s">
        <v>119</v>
      </c>
      <c r="E10" s="21" t="s">
        <v>376</v>
      </c>
      <c r="F10" s="21" t="s">
        <v>623</v>
      </c>
      <c r="G10" s="21" t="s">
        <v>618</v>
      </c>
      <c r="H10" s="21" t="s">
        <v>619</v>
      </c>
      <c r="I10" s="22"/>
    </row>
    <row r="11" customFormat="false" ht="15" hidden="false" customHeight="false" outlineLevel="0" collapsed="false">
      <c r="A11" s="21" t="s">
        <v>505</v>
      </c>
      <c r="B11" s="21" t="s">
        <v>224</v>
      </c>
      <c r="C11" s="21" t="s">
        <v>685</v>
      </c>
      <c r="D11" s="21" t="s">
        <v>119</v>
      </c>
      <c r="E11" s="21" t="s">
        <v>376</v>
      </c>
      <c r="F11" s="21" t="s">
        <v>686</v>
      </c>
      <c r="G11" s="21" t="s">
        <v>687</v>
      </c>
      <c r="H11" s="21" t="s">
        <v>684</v>
      </c>
      <c r="I11" s="22"/>
    </row>
    <row r="12" customFormat="false" ht="15" hidden="false" customHeight="false" outlineLevel="0" collapsed="false">
      <c r="A12" s="21" t="s">
        <v>555</v>
      </c>
      <c r="B12" s="21" t="s">
        <v>224</v>
      </c>
      <c r="C12" s="21" t="s">
        <v>628</v>
      </c>
      <c r="D12" s="21" t="s">
        <v>119</v>
      </c>
      <c r="E12" s="21" t="s">
        <v>376</v>
      </c>
      <c r="F12" s="21" t="s">
        <v>688</v>
      </c>
      <c r="G12" s="21" t="s">
        <v>689</v>
      </c>
      <c r="H12" s="21" t="s">
        <v>690</v>
      </c>
      <c r="I12" s="22"/>
    </row>
    <row r="13" customFormat="false" ht="15" hidden="false" customHeight="false" outlineLevel="0" collapsed="false">
      <c r="A13" s="21" t="s">
        <v>589</v>
      </c>
      <c r="B13" s="21" t="s">
        <v>224</v>
      </c>
      <c r="C13" s="21" t="s">
        <v>636</v>
      </c>
      <c r="D13" s="21" t="s">
        <v>119</v>
      </c>
      <c r="E13" s="21" t="s">
        <v>376</v>
      </c>
      <c r="F13" s="21" t="s">
        <v>669</v>
      </c>
      <c r="G13" s="21" t="s">
        <v>618</v>
      </c>
      <c r="H13" s="21" t="s">
        <v>619</v>
      </c>
      <c r="I13" s="22"/>
    </row>
    <row r="14" customFormat="false" ht="15" hidden="false" customHeight="false" outlineLevel="0" collapsed="false">
      <c r="A14" s="21" t="s">
        <v>305</v>
      </c>
      <c r="B14" s="21" t="s">
        <v>224</v>
      </c>
      <c r="C14" s="21" t="s">
        <v>691</v>
      </c>
      <c r="D14" s="21" t="s">
        <v>119</v>
      </c>
      <c r="E14" s="21" t="s">
        <v>376</v>
      </c>
      <c r="F14" s="21" t="s">
        <v>692</v>
      </c>
      <c r="G14" s="21" t="s">
        <v>693</v>
      </c>
      <c r="H14" s="21"/>
      <c r="I14" s="22" t="s">
        <v>400</v>
      </c>
    </row>
    <row r="15" customFormat="false" ht="15" hidden="false" customHeight="false" outlineLevel="0" collapsed="false">
      <c r="A15" s="4" t="s">
        <v>301</v>
      </c>
      <c r="B15" s="4" t="s">
        <v>224</v>
      </c>
      <c r="C15" s="4" t="s">
        <v>647</v>
      </c>
      <c r="D15" s="4" t="s">
        <v>225</v>
      </c>
      <c r="E15" s="4" t="s">
        <v>455</v>
      </c>
      <c r="F15" s="4" t="s">
        <v>302</v>
      </c>
      <c r="G15" s="4" t="s">
        <v>694</v>
      </c>
      <c r="H15" s="4"/>
      <c r="I15" s="23" t="s">
        <v>400</v>
      </c>
    </row>
    <row r="16" customFormat="false" ht="15" hidden="false" customHeight="false" outlineLevel="0" collapsed="false">
      <c r="A16" s="4" t="s">
        <v>303</v>
      </c>
      <c r="B16" s="4" t="s">
        <v>224</v>
      </c>
      <c r="C16" s="4" t="s">
        <v>647</v>
      </c>
      <c r="D16" s="4" t="s">
        <v>225</v>
      </c>
      <c r="E16" s="4" t="s">
        <v>376</v>
      </c>
      <c r="F16" s="4" t="s">
        <v>304</v>
      </c>
      <c r="G16" s="4" t="s">
        <v>695</v>
      </c>
      <c r="H16" s="4"/>
      <c r="I16" s="23" t="s">
        <v>696</v>
      </c>
    </row>
    <row r="18" customFormat="false" ht="15" hidden="false" customHeight="false" outlineLevel="0" collapsed="false">
      <c r="A18" s="24" t="s">
        <v>422</v>
      </c>
    </row>
  </sheetData>
  <hyperlinks>
    <hyperlink ref="A18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162</v>
      </c>
    </row>
    <row r="3" customFormat="false" ht="15" hidden="false" customHeight="false" outlineLevel="0" collapsed="false">
      <c r="A3" s="19" t="s">
        <v>366</v>
      </c>
      <c r="B3" s="20" t="s">
        <v>612</v>
      </c>
    </row>
    <row r="4" customFormat="false" ht="15" hidden="false" customHeight="false" outlineLevel="0" collapsed="false">
      <c r="A4" s="19" t="s">
        <v>113</v>
      </c>
      <c r="B4" s="20" t="s">
        <v>160</v>
      </c>
    </row>
    <row r="5" customFormat="false" ht="15" hidden="false" customHeight="false" outlineLevel="0" collapsed="false">
      <c r="A5" s="19" t="s">
        <v>114</v>
      </c>
      <c r="B5" s="20" t="s">
        <v>151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15" hidden="false" customHeight="false" outlineLevel="0" collapsed="false">
      <c r="A8" s="21" t="s">
        <v>616</v>
      </c>
      <c r="B8" s="21" t="s">
        <v>224</v>
      </c>
      <c r="C8" s="21" t="s">
        <v>617</v>
      </c>
      <c r="D8" s="21" t="s">
        <v>119</v>
      </c>
      <c r="E8" s="21" t="s">
        <v>376</v>
      </c>
      <c r="F8" s="21" t="s">
        <v>668</v>
      </c>
      <c r="G8" s="21" t="s">
        <v>618</v>
      </c>
      <c r="H8" s="21" t="s">
        <v>619</v>
      </c>
      <c r="I8" s="22"/>
    </row>
    <row r="9" customFormat="false" ht="15" hidden="false" customHeight="false" outlineLevel="0" collapsed="false">
      <c r="A9" s="21" t="s">
        <v>473</v>
      </c>
      <c r="B9" s="21" t="s">
        <v>224</v>
      </c>
      <c r="C9" s="21" t="s">
        <v>681</v>
      </c>
      <c r="D9" s="21" t="s">
        <v>119</v>
      </c>
      <c r="E9" s="21" t="s">
        <v>376</v>
      </c>
      <c r="F9" s="21" t="s">
        <v>682</v>
      </c>
      <c r="G9" s="21" t="s">
        <v>697</v>
      </c>
      <c r="H9" s="21"/>
      <c r="I9" s="22"/>
    </row>
    <row r="10" customFormat="false" ht="15" hidden="false" customHeight="false" outlineLevel="0" collapsed="false">
      <c r="A10" s="21" t="s">
        <v>423</v>
      </c>
      <c r="B10" s="21" t="s">
        <v>224</v>
      </c>
      <c r="C10" s="21" t="s">
        <v>622</v>
      </c>
      <c r="D10" s="21" t="s">
        <v>119</v>
      </c>
      <c r="E10" s="21" t="s">
        <v>376</v>
      </c>
      <c r="F10" s="21" t="s">
        <v>623</v>
      </c>
      <c r="G10" s="21" t="s">
        <v>618</v>
      </c>
      <c r="H10" s="21" t="s">
        <v>619</v>
      </c>
      <c r="I10" s="22"/>
    </row>
    <row r="11" customFormat="false" ht="15" hidden="false" customHeight="false" outlineLevel="0" collapsed="false">
      <c r="A11" s="21" t="s">
        <v>505</v>
      </c>
      <c r="B11" s="21" t="s">
        <v>224</v>
      </c>
      <c r="C11" s="21" t="s">
        <v>685</v>
      </c>
      <c r="D11" s="21" t="s">
        <v>119</v>
      </c>
      <c r="E11" s="21" t="s">
        <v>376</v>
      </c>
      <c r="F11" s="21" t="s">
        <v>698</v>
      </c>
      <c r="G11" s="21" t="s">
        <v>699</v>
      </c>
      <c r="H11" s="21"/>
      <c r="I11" s="22"/>
    </row>
    <row r="12" customFormat="false" ht="15" hidden="false" customHeight="false" outlineLevel="0" collapsed="false">
      <c r="A12" s="21" t="s">
        <v>555</v>
      </c>
      <c r="B12" s="21" t="s">
        <v>224</v>
      </c>
      <c r="C12" s="21" t="s">
        <v>628</v>
      </c>
      <c r="D12" s="21" t="s">
        <v>119</v>
      </c>
      <c r="E12" s="21" t="s">
        <v>376</v>
      </c>
      <c r="F12" s="21" t="s">
        <v>700</v>
      </c>
      <c r="G12" s="21" t="s">
        <v>689</v>
      </c>
      <c r="H12" s="21" t="s">
        <v>701</v>
      </c>
      <c r="I12" s="22"/>
    </row>
    <row r="13" customFormat="false" ht="15" hidden="false" customHeight="false" outlineLevel="0" collapsed="false">
      <c r="A13" s="21" t="s">
        <v>589</v>
      </c>
      <c r="B13" s="21" t="s">
        <v>224</v>
      </c>
      <c r="C13" s="21" t="s">
        <v>636</v>
      </c>
      <c r="D13" s="21" t="s">
        <v>119</v>
      </c>
      <c r="E13" s="21" t="s">
        <v>376</v>
      </c>
      <c r="F13" s="21" t="s">
        <v>669</v>
      </c>
      <c r="G13" s="21" t="s">
        <v>618</v>
      </c>
      <c r="H13" s="21" t="s">
        <v>619</v>
      </c>
      <c r="I13" s="22"/>
    </row>
    <row r="14" customFormat="false" ht="15" hidden="false" customHeight="false" outlineLevel="0" collapsed="false">
      <c r="A14" s="21" t="s">
        <v>702</v>
      </c>
      <c r="B14" s="21" t="s">
        <v>224</v>
      </c>
      <c r="C14" s="21" t="s">
        <v>691</v>
      </c>
      <c r="D14" s="21" t="s">
        <v>119</v>
      </c>
      <c r="E14" s="21" t="s">
        <v>376</v>
      </c>
      <c r="F14" s="21" t="s">
        <v>703</v>
      </c>
      <c r="G14" s="21" t="s">
        <v>704</v>
      </c>
      <c r="H14" s="21"/>
      <c r="I14" s="22" t="s">
        <v>400</v>
      </c>
    </row>
    <row r="15" customFormat="false" ht="15" hidden="false" customHeight="false" outlineLevel="0" collapsed="false">
      <c r="A15" s="4" t="s">
        <v>305</v>
      </c>
      <c r="B15" s="4" t="s">
        <v>224</v>
      </c>
      <c r="C15" s="4" t="s">
        <v>647</v>
      </c>
      <c r="D15" s="4" t="s">
        <v>225</v>
      </c>
      <c r="E15" s="4" t="s">
        <v>376</v>
      </c>
      <c r="F15" s="4" t="s">
        <v>306</v>
      </c>
      <c r="G15" s="4" t="s">
        <v>705</v>
      </c>
      <c r="H15" s="4"/>
      <c r="I15" s="23" t="s">
        <v>706</v>
      </c>
    </row>
    <row r="16" customFormat="false" ht="15" hidden="false" customHeight="false" outlineLevel="0" collapsed="false">
      <c r="A16" s="4" t="s">
        <v>707</v>
      </c>
      <c r="B16" s="4" t="s">
        <v>497</v>
      </c>
      <c r="C16" s="4" t="s">
        <v>708</v>
      </c>
      <c r="D16" s="4" t="s">
        <v>119</v>
      </c>
      <c r="E16" s="4" t="s">
        <v>455</v>
      </c>
      <c r="F16" s="4" t="s">
        <v>709</v>
      </c>
      <c r="G16" s="4" t="s">
        <v>710</v>
      </c>
      <c r="H16" s="4"/>
      <c r="I16" s="23" t="s">
        <v>711</v>
      </c>
    </row>
    <row r="17" customFormat="false" ht="15" hidden="false" customHeight="false" outlineLevel="0" collapsed="false">
      <c r="A17" s="4" t="s">
        <v>307</v>
      </c>
      <c r="B17" s="4" t="s">
        <v>224</v>
      </c>
      <c r="C17" s="4" t="s">
        <v>647</v>
      </c>
      <c r="D17" s="4" t="s">
        <v>225</v>
      </c>
      <c r="E17" s="4" t="s">
        <v>455</v>
      </c>
      <c r="F17" s="4" t="s">
        <v>308</v>
      </c>
      <c r="G17" s="4" t="s">
        <v>712</v>
      </c>
      <c r="H17" s="4"/>
      <c r="I17" s="23" t="s">
        <v>713</v>
      </c>
    </row>
    <row r="18" customFormat="false" ht="15" hidden="false" customHeight="false" outlineLevel="0" collapsed="false">
      <c r="A18" s="4" t="s">
        <v>309</v>
      </c>
      <c r="B18" s="4" t="s">
        <v>259</v>
      </c>
      <c r="C18" s="4" t="s">
        <v>664</v>
      </c>
      <c r="D18" s="4" t="s">
        <v>234</v>
      </c>
      <c r="E18" s="4" t="s">
        <v>376</v>
      </c>
      <c r="F18" s="4" t="s">
        <v>310</v>
      </c>
      <c r="G18" s="4" t="s">
        <v>712</v>
      </c>
      <c r="H18" s="4" t="s">
        <v>311</v>
      </c>
      <c r="I18" s="23" t="s">
        <v>665</v>
      </c>
    </row>
    <row r="20" customFormat="false" ht="15" hidden="false" customHeight="false" outlineLevel="0" collapsed="false">
      <c r="A20" s="24" t="s">
        <v>422</v>
      </c>
    </row>
  </sheetData>
  <hyperlinks>
    <hyperlink ref="A20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165</v>
      </c>
    </row>
    <row r="3" customFormat="false" ht="15" hidden="false" customHeight="false" outlineLevel="0" collapsed="false">
      <c r="A3" s="19" t="s">
        <v>366</v>
      </c>
      <c r="B3" s="20" t="s">
        <v>714</v>
      </c>
    </row>
    <row r="4" customFormat="false" ht="15" hidden="false" customHeight="false" outlineLevel="0" collapsed="false">
      <c r="A4" s="19" t="s">
        <v>113</v>
      </c>
      <c r="B4" s="20" t="s">
        <v>163</v>
      </c>
    </row>
    <row r="5" customFormat="false" ht="15" hidden="false" customHeight="false" outlineLevel="0" collapsed="false">
      <c r="A5" s="19" t="s">
        <v>114</v>
      </c>
      <c r="B5" s="20" t="s">
        <v>151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15" hidden="false" customHeight="false" outlineLevel="0" collapsed="false">
      <c r="A8" s="21" t="s">
        <v>616</v>
      </c>
      <c r="B8" s="21" t="s">
        <v>224</v>
      </c>
      <c r="C8" s="21" t="s">
        <v>617</v>
      </c>
      <c r="D8" s="21" t="s">
        <v>119</v>
      </c>
      <c r="E8" s="21" t="s">
        <v>376</v>
      </c>
      <c r="F8" s="21" t="s">
        <v>668</v>
      </c>
      <c r="G8" s="21" t="s">
        <v>618</v>
      </c>
      <c r="H8" s="21" t="s">
        <v>619</v>
      </c>
      <c r="I8" s="22"/>
    </row>
    <row r="9" customFormat="false" ht="15" hidden="false" customHeight="false" outlineLevel="0" collapsed="false">
      <c r="A9" s="21" t="s">
        <v>473</v>
      </c>
      <c r="B9" s="21" t="s">
        <v>224</v>
      </c>
      <c r="C9" s="21" t="s">
        <v>681</v>
      </c>
      <c r="D9" s="21" t="s">
        <v>119</v>
      </c>
      <c r="E9" s="21" t="s">
        <v>376</v>
      </c>
      <c r="F9" s="21" t="s">
        <v>715</v>
      </c>
      <c r="G9" s="21" t="s">
        <v>716</v>
      </c>
      <c r="H9" s="21"/>
      <c r="I9" s="22"/>
    </row>
    <row r="10" customFormat="false" ht="15" hidden="false" customHeight="false" outlineLevel="0" collapsed="false">
      <c r="A10" s="21" t="s">
        <v>505</v>
      </c>
      <c r="B10" s="21" t="s">
        <v>224</v>
      </c>
      <c r="C10" s="21" t="s">
        <v>685</v>
      </c>
      <c r="D10" s="21" t="s">
        <v>119</v>
      </c>
      <c r="E10" s="21" t="s">
        <v>376</v>
      </c>
      <c r="F10" s="21" t="s">
        <v>698</v>
      </c>
      <c r="G10" s="21" t="s">
        <v>717</v>
      </c>
      <c r="H10" s="21"/>
      <c r="I10" s="22"/>
    </row>
    <row r="11" customFormat="false" ht="15" hidden="false" customHeight="false" outlineLevel="0" collapsed="false">
      <c r="A11" s="21" t="s">
        <v>589</v>
      </c>
      <c r="B11" s="21" t="s">
        <v>224</v>
      </c>
      <c r="C11" s="21" t="s">
        <v>636</v>
      </c>
      <c r="D11" s="21" t="s">
        <v>119</v>
      </c>
      <c r="E11" s="21" t="s">
        <v>376</v>
      </c>
      <c r="F11" s="21" t="s">
        <v>669</v>
      </c>
      <c r="G11" s="21" t="s">
        <v>618</v>
      </c>
      <c r="H11" s="21" t="s">
        <v>619</v>
      </c>
      <c r="I11" s="22"/>
    </row>
    <row r="12" customFormat="false" ht="15" hidden="false" customHeight="false" outlineLevel="0" collapsed="false">
      <c r="A12" s="4" t="s">
        <v>312</v>
      </c>
      <c r="B12" s="4" t="s">
        <v>224</v>
      </c>
      <c r="C12" s="4" t="s">
        <v>647</v>
      </c>
      <c r="D12" s="4" t="s">
        <v>225</v>
      </c>
      <c r="E12" s="4" t="s">
        <v>376</v>
      </c>
      <c r="F12" s="4" t="s">
        <v>313</v>
      </c>
      <c r="G12" s="4" t="s">
        <v>718</v>
      </c>
      <c r="H12" s="4"/>
      <c r="I12" s="23" t="s">
        <v>400</v>
      </c>
    </row>
    <row r="13" customFormat="false" ht="15" hidden="false" customHeight="false" outlineLevel="0" collapsed="false">
      <c r="A13" s="4" t="s">
        <v>314</v>
      </c>
      <c r="B13" s="4" t="s">
        <v>233</v>
      </c>
      <c r="C13" s="4" t="s">
        <v>647</v>
      </c>
      <c r="D13" s="4" t="s">
        <v>315</v>
      </c>
      <c r="E13" s="4" t="s">
        <v>376</v>
      </c>
      <c r="F13" s="4" t="s">
        <v>316</v>
      </c>
      <c r="G13" s="4" t="s">
        <v>719</v>
      </c>
      <c r="H13" s="4"/>
      <c r="I13" s="23" t="s">
        <v>720</v>
      </c>
    </row>
    <row r="14" customFormat="false" ht="15" hidden="false" customHeight="false" outlineLevel="0" collapsed="false">
      <c r="A14" s="4" t="s">
        <v>317</v>
      </c>
      <c r="B14" s="4" t="s">
        <v>224</v>
      </c>
      <c r="C14" s="4" t="s">
        <v>647</v>
      </c>
      <c r="D14" s="4" t="s">
        <v>315</v>
      </c>
      <c r="E14" s="4" t="s">
        <v>376</v>
      </c>
      <c r="F14" s="4" t="s">
        <v>318</v>
      </c>
      <c r="G14" s="4" t="s">
        <v>721</v>
      </c>
      <c r="H14" s="4"/>
      <c r="I14" s="23" t="s">
        <v>722</v>
      </c>
    </row>
    <row r="16" customFormat="false" ht="15" hidden="false" customHeight="false" outlineLevel="0" collapsed="false">
      <c r="A16" s="24" t="s">
        <v>422</v>
      </c>
    </row>
  </sheetData>
  <hyperlinks>
    <hyperlink ref="A16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168</v>
      </c>
    </row>
    <row r="3" customFormat="false" ht="15" hidden="false" customHeight="false" outlineLevel="0" collapsed="false">
      <c r="A3" s="19" t="s">
        <v>366</v>
      </c>
      <c r="B3" s="20" t="s">
        <v>714</v>
      </c>
    </row>
    <row r="4" customFormat="false" ht="15" hidden="false" customHeight="false" outlineLevel="0" collapsed="false">
      <c r="A4" s="19" t="s">
        <v>113</v>
      </c>
      <c r="B4" s="20" t="s">
        <v>166</v>
      </c>
    </row>
    <row r="5" customFormat="false" ht="15" hidden="false" customHeight="false" outlineLevel="0" collapsed="false">
      <c r="A5" s="19" t="s">
        <v>114</v>
      </c>
      <c r="B5" s="20" t="s">
        <v>151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15" hidden="false" customHeight="false" outlineLevel="0" collapsed="false">
      <c r="A8" s="21" t="s">
        <v>616</v>
      </c>
      <c r="B8" s="21" t="s">
        <v>224</v>
      </c>
      <c r="C8" s="21" t="s">
        <v>617</v>
      </c>
      <c r="D8" s="21" t="s">
        <v>119</v>
      </c>
      <c r="E8" s="21" t="s">
        <v>376</v>
      </c>
      <c r="F8" s="21" t="s">
        <v>668</v>
      </c>
      <c r="G8" s="21" t="s">
        <v>618</v>
      </c>
      <c r="H8" s="21" t="s">
        <v>619</v>
      </c>
      <c r="I8" s="22"/>
    </row>
    <row r="9" customFormat="false" ht="15" hidden="false" customHeight="false" outlineLevel="0" collapsed="false">
      <c r="A9" s="21" t="s">
        <v>473</v>
      </c>
      <c r="B9" s="21" t="s">
        <v>224</v>
      </c>
      <c r="C9" s="21" t="s">
        <v>681</v>
      </c>
      <c r="D9" s="21" t="s">
        <v>119</v>
      </c>
      <c r="E9" s="21" t="s">
        <v>376</v>
      </c>
      <c r="F9" s="21" t="s">
        <v>682</v>
      </c>
      <c r="G9" s="21" t="s">
        <v>723</v>
      </c>
      <c r="H9" s="21"/>
      <c r="I9" s="22"/>
    </row>
    <row r="10" customFormat="false" ht="15" hidden="false" customHeight="false" outlineLevel="0" collapsed="false">
      <c r="A10" s="21" t="s">
        <v>555</v>
      </c>
      <c r="B10" s="21" t="s">
        <v>224</v>
      </c>
      <c r="C10" s="21" t="s">
        <v>724</v>
      </c>
      <c r="D10" s="21" t="s">
        <v>119</v>
      </c>
      <c r="E10" s="21" t="s">
        <v>376</v>
      </c>
      <c r="F10" s="21" t="s">
        <v>700</v>
      </c>
      <c r="G10" s="21" t="s">
        <v>725</v>
      </c>
      <c r="H10" s="21"/>
      <c r="I10" s="22"/>
    </row>
    <row r="11" customFormat="false" ht="15" hidden="false" customHeight="false" outlineLevel="0" collapsed="false">
      <c r="A11" s="21" t="s">
        <v>589</v>
      </c>
      <c r="B11" s="21" t="s">
        <v>224</v>
      </c>
      <c r="C11" s="21" t="s">
        <v>636</v>
      </c>
      <c r="D11" s="21" t="s">
        <v>119</v>
      </c>
      <c r="E11" s="21" t="s">
        <v>376</v>
      </c>
      <c r="F11" s="21" t="s">
        <v>669</v>
      </c>
      <c r="G11" s="21" t="s">
        <v>618</v>
      </c>
      <c r="H11" s="21" t="s">
        <v>619</v>
      </c>
      <c r="I11" s="22"/>
    </row>
    <row r="12" customFormat="false" ht="15" hidden="false" customHeight="false" outlineLevel="0" collapsed="false">
      <c r="A12" s="4" t="s">
        <v>312</v>
      </c>
      <c r="B12" s="4" t="s">
        <v>224</v>
      </c>
      <c r="C12" s="4" t="s">
        <v>647</v>
      </c>
      <c r="D12" s="4" t="s">
        <v>225</v>
      </c>
      <c r="E12" s="4" t="s">
        <v>376</v>
      </c>
      <c r="F12" s="4" t="s">
        <v>313</v>
      </c>
      <c r="G12" s="4" t="s">
        <v>726</v>
      </c>
      <c r="H12" s="4"/>
      <c r="I12" s="23" t="s">
        <v>400</v>
      </c>
    </row>
    <row r="13" customFormat="false" ht="15" hidden="false" customHeight="false" outlineLevel="0" collapsed="false">
      <c r="A13" s="4" t="s">
        <v>314</v>
      </c>
      <c r="B13" s="4" t="s">
        <v>233</v>
      </c>
      <c r="C13" s="4" t="s">
        <v>647</v>
      </c>
      <c r="D13" s="4" t="s">
        <v>315</v>
      </c>
      <c r="E13" s="4" t="s">
        <v>376</v>
      </c>
      <c r="F13" s="4" t="s">
        <v>319</v>
      </c>
      <c r="G13" s="4" t="s">
        <v>727</v>
      </c>
      <c r="H13" s="4"/>
      <c r="I13" s="23" t="s">
        <v>728</v>
      </c>
    </row>
    <row r="14" customFormat="false" ht="15" hidden="false" customHeight="false" outlineLevel="0" collapsed="false">
      <c r="A14" s="4" t="s">
        <v>317</v>
      </c>
      <c r="B14" s="4" t="s">
        <v>224</v>
      </c>
      <c r="C14" s="4" t="s">
        <v>647</v>
      </c>
      <c r="D14" s="4" t="s">
        <v>315</v>
      </c>
      <c r="E14" s="4" t="s">
        <v>376</v>
      </c>
      <c r="F14" s="4" t="s">
        <v>318</v>
      </c>
      <c r="G14" s="4" t="s">
        <v>729</v>
      </c>
      <c r="H14" s="4"/>
      <c r="I14" s="23" t="s">
        <v>413</v>
      </c>
    </row>
    <row r="16" customFormat="false" ht="15" hidden="false" customHeight="false" outlineLevel="0" collapsed="false">
      <c r="A16" s="24" t="s">
        <v>422</v>
      </c>
    </row>
  </sheetData>
  <hyperlinks>
    <hyperlink ref="A16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42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171</v>
      </c>
    </row>
    <row r="3" customFormat="false" ht="15" hidden="false" customHeight="false" outlineLevel="0" collapsed="false">
      <c r="A3" s="19" t="s">
        <v>366</v>
      </c>
      <c r="B3" s="20" t="s">
        <v>730</v>
      </c>
    </row>
    <row r="4" customFormat="false" ht="15" hidden="false" customHeight="false" outlineLevel="0" collapsed="false">
      <c r="A4" s="19" t="s">
        <v>113</v>
      </c>
      <c r="B4" s="20" t="s">
        <v>128</v>
      </c>
    </row>
    <row r="5" customFormat="false" ht="15" hidden="false" customHeight="false" outlineLevel="0" collapsed="false">
      <c r="A5" s="19" t="s">
        <v>114</v>
      </c>
      <c r="B5" s="20" t="s">
        <v>169</v>
      </c>
    </row>
    <row r="7" customFormat="false" ht="1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  <c r="E7" s="3" t="s">
        <v>371</v>
      </c>
      <c r="F7" s="3" t="s">
        <v>117</v>
      </c>
      <c r="G7" s="3" t="s">
        <v>372</v>
      </c>
      <c r="H7" s="3" t="s">
        <v>373</v>
      </c>
      <c r="I7" s="3" t="s">
        <v>353</v>
      </c>
    </row>
    <row r="8" customFormat="false" ht="15" hidden="false" customHeight="false" outlineLevel="0" collapsed="false">
      <c r="A8" s="21" t="s">
        <v>473</v>
      </c>
      <c r="B8" s="21" t="s">
        <v>224</v>
      </c>
      <c r="C8" s="21" t="s">
        <v>681</v>
      </c>
      <c r="D8" s="21" t="s">
        <v>119</v>
      </c>
      <c r="E8" s="21" t="s">
        <v>376</v>
      </c>
      <c r="F8" s="21" t="s">
        <v>682</v>
      </c>
      <c r="G8" s="21" t="s">
        <v>731</v>
      </c>
      <c r="H8" s="21"/>
      <c r="I8" s="22"/>
    </row>
    <row r="9" customFormat="false" ht="15" hidden="false" customHeight="false" outlineLevel="0" collapsed="false">
      <c r="A9" s="21" t="s">
        <v>423</v>
      </c>
      <c r="B9" s="21" t="s">
        <v>224</v>
      </c>
      <c r="C9" s="21" t="s">
        <v>622</v>
      </c>
      <c r="D9" s="21" t="s">
        <v>119</v>
      </c>
      <c r="E9" s="21" t="s">
        <v>376</v>
      </c>
      <c r="F9" s="21" t="s">
        <v>623</v>
      </c>
      <c r="G9" s="21" t="s">
        <v>618</v>
      </c>
      <c r="H9" s="21" t="s">
        <v>619</v>
      </c>
      <c r="I9" s="22"/>
    </row>
    <row r="10" customFormat="false" ht="15" hidden="false" customHeight="false" outlineLevel="0" collapsed="false">
      <c r="A10" s="21" t="s">
        <v>732</v>
      </c>
      <c r="B10" s="21" t="s">
        <v>224</v>
      </c>
      <c r="C10" s="21" t="s">
        <v>733</v>
      </c>
      <c r="D10" s="21" t="s">
        <v>119</v>
      </c>
      <c r="E10" s="21" t="s">
        <v>376</v>
      </c>
      <c r="F10" s="21" t="s">
        <v>734</v>
      </c>
      <c r="G10" s="21" t="s">
        <v>735</v>
      </c>
      <c r="H10" s="21" t="s">
        <v>736</v>
      </c>
      <c r="I10" s="22"/>
    </row>
    <row r="11" customFormat="false" ht="15" hidden="false" customHeight="false" outlineLevel="0" collapsed="false">
      <c r="A11" s="21" t="s">
        <v>737</v>
      </c>
      <c r="B11" s="21" t="s">
        <v>224</v>
      </c>
      <c r="C11" s="21" t="s">
        <v>738</v>
      </c>
      <c r="D11" s="21" t="s">
        <v>119</v>
      </c>
      <c r="E11" s="21" t="s">
        <v>376</v>
      </c>
      <c r="F11" s="21" t="s">
        <v>739</v>
      </c>
      <c r="G11" s="21" t="s">
        <v>740</v>
      </c>
      <c r="H11" s="21" t="s">
        <v>736</v>
      </c>
      <c r="I11" s="22"/>
    </row>
    <row r="12" customFormat="false" ht="15" hidden="false" customHeight="false" outlineLevel="0" collapsed="false">
      <c r="A12" s="21" t="s">
        <v>741</v>
      </c>
      <c r="B12" s="21" t="s">
        <v>224</v>
      </c>
      <c r="C12" s="21" t="s">
        <v>742</v>
      </c>
      <c r="D12" s="21" t="s">
        <v>119</v>
      </c>
      <c r="E12" s="21" t="s">
        <v>376</v>
      </c>
      <c r="F12" s="21" t="s">
        <v>743</v>
      </c>
      <c r="G12" s="21" t="s">
        <v>744</v>
      </c>
      <c r="H12" s="21" t="s">
        <v>736</v>
      </c>
      <c r="I12" s="22"/>
    </row>
    <row r="13" customFormat="false" ht="15" hidden="false" customHeight="false" outlineLevel="0" collapsed="false">
      <c r="A13" s="21" t="s">
        <v>616</v>
      </c>
      <c r="B13" s="21" t="s">
        <v>224</v>
      </c>
      <c r="C13" s="21" t="s">
        <v>745</v>
      </c>
      <c r="D13" s="21" t="s">
        <v>119</v>
      </c>
      <c r="E13" s="21" t="s">
        <v>376</v>
      </c>
      <c r="F13" s="21" t="s">
        <v>746</v>
      </c>
      <c r="G13" s="21" t="s">
        <v>747</v>
      </c>
      <c r="H13" s="21"/>
      <c r="I13" s="22"/>
    </row>
    <row r="14" customFormat="false" ht="15" hidden="false" customHeight="false" outlineLevel="0" collapsed="false">
      <c r="A14" s="21" t="s">
        <v>748</v>
      </c>
      <c r="B14" s="21" t="s">
        <v>224</v>
      </c>
      <c r="C14" s="21" t="s">
        <v>749</v>
      </c>
      <c r="D14" s="21" t="s">
        <v>119</v>
      </c>
      <c r="E14" s="21" t="s">
        <v>376</v>
      </c>
      <c r="F14" s="21" t="s">
        <v>750</v>
      </c>
      <c r="G14" s="21" t="s">
        <v>49</v>
      </c>
      <c r="H14" s="21" t="s">
        <v>751</v>
      </c>
      <c r="I14" s="22"/>
    </row>
    <row r="15" customFormat="false" ht="15" hidden="false" customHeight="false" outlineLevel="0" collapsed="false">
      <c r="A15" s="21" t="s">
        <v>752</v>
      </c>
      <c r="B15" s="21" t="s">
        <v>224</v>
      </c>
      <c r="C15" s="21" t="s">
        <v>753</v>
      </c>
      <c r="D15" s="21" t="s">
        <v>119</v>
      </c>
      <c r="E15" s="21" t="s">
        <v>376</v>
      </c>
      <c r="F15" s="21" t="s">
        <v>754</v>
      </c>
      <c r="G15" s="21" t="s">
        <v>49</v>
      </c>
      <c r="H15" s="21" t="s">
        <v>755</v>
      </c>
      <c r="I15" s="22"/>
    </row>
    <row r="16" customFormat="false" ht="23.85" hidden="false" customHeight="false" outlineLevel="0" collapsed="false">
      <c r="A16" s="21" t="s">
        <v>756</v>
      </c>
      <c r="B16" s="21" t="s">
        <v>224</v>
      </c>
      <c r="C16" s="21" t="s">
        <v>757</v>
      </c>
      <c r="D16" s="21" t="s">
        <v>119</v>
      </c>
      <c r="E16" s="21" t="s">
        <v>376</v>
      </c>
      <c r="F16" s="21" t="s">
        <v>758</v>
      </c>
      <c r="G16" s="21" t="s">
        <v>49</v>
      </c>
      <c r="H16" s="21" t="s">
        <v>759</v>
      </c>
      <c r="I16" s="22"/>
    </row>
    <row r="17" customFormat="false" ht="15" hidden="false" customHeight="false" outlineLevel="0" collapsed="false">
      <c r="A17" s="21" t="s">
        <v>760</v>
      </c>
      <c r="B17" s="21" t="s">
        <v>224</v>
      </c>
      <c r="C17" s="21" t="s">
        <v>628</v>
      </c>
      <c r="D17" s="21" t="s">
        <v>119</v>
      </c>
      <c r="E17" s="21" t="s">
        <v>376</v>
      </c>
      <c r="F17" s="21" t="s">
        <v>761</v>
      </c>
      <c r="G17" s="21" t="s">
        <v>49</v>
      </c>
      <c r="H17" s="21"/>
      <c r="I17" s="22"/>
    </row>
    <row r="18" customFormat="false" ht="15" hidden="false" customHeight="false" outlineLevel="0" collapsed="false">
      <c r="A18" s="21" t="s">
        <v>589</v>
      </c>
      <c r="B18" s="21" t="s">
        <v>224</v>
      </c>
      <c r="C18" s="21" t="s">
        <v>636</v>
      </c>
      <c r="D18" s="21" t="s">
        <v>119</v>
      </c>
      <c r="E18" s="21" t="s">
        <v>376</v>
      </c>
      <c r="F18" s="21" t="s">
        <v>762</v>
      </c>
      <c r="G18" s="21" t="s">
        <v>618</v>
      </c>
      <c r="H18" s="21" t="s">
        <v>619</v>
      </c>
      <c r="I18" s="22"/>
    </row>
    <row r="19" customFormat="false" ht="15" hidden="false" customHeight="false" outlineLevel="0" collapsed="false">
      <c r="A19" s="4" t="s">
        <v>320</v>
      </c>
      <c r="B19" s="4" t="s">
        <v>224</v>
      </c>
      <c r="C19" s="4" t="s">
        <v>647</v>
      </c>
      <c r="D19" s="4" t="s">
        <v>234</v>
      </c>
      <c r="E19" s="4" t="s">
        <v>455</v>
      </c>
      <c r="F19" s="4" t="s">
        <v>321</v>
      </c>
      <c r="G19" s="4" t="s">
        <v>49</v>
      </c>
      <c r="H19" s="4" t="s">
        <v>322</v>
      </c>
      <c r="I19" s="23" t="s">
        <v>763</v>
      </c>
    </row>
    <row r="20" customFormat="false" ht="15" hidden="false" customHeight="false" outlineLevel="0" collapsed="false">
      <c r="A20" s="4" t="s">
        <v>323</v>
      </c>
      <c r="B20" s="4" t="s">
        <v>224</v>
      </c>
      <c r="C20" s="4" t="s">
        <v>647</v>
      </c>
      <c r="D20" s="4" t="s">
        <v>234</v>
      </c>
      <c r="E20" s="4" t="s">
        <v>455</v>
      </c>
      <c r="F20" s="4" t="s">
        <v>324</v>
      </c>
      <c r="G20" s="4" t="s">
        <v>49</v>
      </c>
      <c r="H20" s="4" t="s">
        <v>325</v>
      </c>
      <c r="I20" s="23" t="s">
        <v>764</v>
      </c>
    </row>
    <row r="21" customFormat="false" ht="15" hidden="false" customHeight="false" outlineLevel="0" collapsed="false">
      <c r="A21" s="4" t="s">
        <v>271</v>
      </c>
      <c r="B21" s="4" t="s">
        <v>224</v>
      </c>
      <c r="C21" s="4" t="s">
        <v>647</v>
      </c>
      <c r="D21" s="4" t="s">
        <v>234</v>
      </c>
      <c r="E21" s="4" t="s">
        <v>455</v>
      </c>
      <c r="F21" s="4" t="s">
        <v>326</v>
      </c>
      <c r="G21" s="4" t="s">
        <v>49</v>
      </c>
      <c r="H21" s="4" t="s">
        <v>327</v>
      </c>
      <c r="I21" s="23" t="s">
        <v>388</v>
      </c>
    </row>
    <row r="22" customFormat="false" ht="15" hidden="false" customHeight="false" outlineLevel="0" collapsed="false">
      <c r="A22" s="4" t="s">
        <v>328</v>
      </c>
      <c r="B22" s="4" t="s">
        <v>224</v>
      </c>
      <c r="C22" s="4" t="s">
        <v>647</v>
      </c>
      <c r="D22" s="4" t="s">
        <v>225</v>
      </c>
      <c r="E22" s="4" t="s">
        <v>455</v>
      </c>
      <c r="F22" s="4" t="s">
        <v>329</v>
      </c>
      <c r="G22" s="4" t="s">
        <v>49</v>
      </c>
      <c r="H22" s="4" t="s">
        <v>330</v>
      </c>
      <c r="I22" s="23" t="s">
        <v>654</v>
      </c>
    </row>
    <row r="23" customFormat="false" ht="15" hidden="false" customHeight="false" outlineLevel="0" collapsed="false">
      <c r="A23" s="4" t="s">
        <v>331</v>
      </c>
      <c r="B23" s="4" t="s">
        <v>239</v>
      </c>
      <c r="C23" s="4" t="s">
        <v>647</v>
      </c>
      <c r="D23" s="4" t="s">
        <v>225</v>
      </c>
      <c r="E23" s="4" t="s">
        <v>455</v>
      </c>
      <c r="F23" s="4" t="s">
        <v>332</v>
      </c>
      <c r="G23" s="4" t="s">
        <v>49</v>
      </c>
      <c r="H23" s="4"/>
      <c r="I23" s="23"/>
    </row>
    <row r="24" customFormat="false" ht="15" hidden="false" customHeight="false" outlineLevel="0" collapsed="false">
      <c r="A24" s="4" t="s">
        <v>333</v>
      </c>
      <c r="B24" s="4" t="s">
        <v>224</v>
      </c>
      <c r="C24" s="4" t="s">
        <v>647</v>
      </c>
      <c r="D24" s="4" t="s">
        <v>225</v>
      </c>
      <c r="E24" s="4" t="s">
        <v>455</v>
      </c>
      <c r="F24" s="4" t="s">
        <v>334</v>
      </c>
      <c r="G24" s="4" t="s">
        <v>49</v>
      </c>
      <c r="H24" s="4" t="s">
        <v>335</v>
      </c>
      <c r="I24" s="23"/>
    </row>
    <row r="25" customFormat="false" ht="15" hidden="false" customHeight="false" outlineLevel="0" collapsed="false">
      <c r="A25" s="4" t="s">
        <v>336</v>
      </c>
      <c r="B25" s="4" t="s">
        <v>224</v>
      </c>
      <c r="C25" s="4" t="s">
        <v>647</v>
      </c>
      <c r="D25" s="4" t="s">
        <v>225</v>
      </c>
      <c r="E25" s="4" t="s">
        <v>455</v>
      </c>
      <c r="F25" s="4" t="s">
        <v>337</v>
      </c>
      <c r="G25" s="4" t="s">
        <v>50</v>
      </c>
      <c r="H25" s="4" t="s">
        <v>338</v>
      </c>
      <c r="I25" s="23"/>
    </row>
    <row r="26" customFormat="false" ht="15" hidden="false" customHeight="false" outlineLevel="0" collapsed="false">
      <c r="A26" s="4" t="s">
        <v>339</v>
      </c>
      <c r="B26" s="4" t="s">
        <v>224</v>
      </c>
      <c r="C26" s="4" t="s">
        <v>647</v>
      </c>
      <c r="D26" s="4" t="s">
        <v>234</v>
      </c>
      <c r="E26" s="4" t="s">
        <v>455</v>
      </c>
      <c r="F26" s="4" t="s">
        <v>340</v>
      </c>
      <c r="G26" s="4" t="s">
        <v>52</v>
      </c>
      <c r="H26" s="4" t="s">
        <v>341</v>
      </c>
      <c r="I26" s="23"/>
    </row>
    <row r="27" customFormat="false" ht="15" hidden="false" customHeight="false" outlineLevel="0" collapsed="false">
      <c r="A27" s="4" t="s">
        <v>342</v>
      </c>
      <c r="B27" s="4" t="s">
        <v>224</v>
      </c>
      <c r="C27" s="4" t="s">
        <v>765</v>
      </c>
      <c r="D27" s="4" t="s">
        <v>225</v>
      </c>
      <c r="E27" s="4" t="s">
        <v>455</v>
      </c>
      <c r="F27" s="4" t="s">
        <v>343</v>
      </c>
      <c r="G27" s="4" t="s">
        <v>766</v>
      </c>
      <c r="H27" s="4" t="s">
        <v>344</v>
      </c>
      <c r="I27" s="23" t="s">
        <v>388</v>
      </c>
    </row>
    <row r="28" customFormat="false" ht="15" hidden="false" customHeight="false" outlineLevel="0" collapsed="false">
      <c r="A28" s="4" t="s">
        <v>345</v>
      </c>
      <c r="B28" s="4" t="s">
        <v>259</v>
      </c>
      <c r="C28" s="4" t="s">
        <v>664</v>
      </c>
      <c r="D28" s="4" t="s">
        <v>234</v>
      </c>
      <c r="E28" s="4" t="s">
        <v>455</v>
      </c>
      <c r="F28" s="4" t="s">
        <v>346</v>
      </c>
      <c r="G28" s="4" t="s">
        <v>49</v>
      </c>
      <c r="H28" s="4" t="s">
        <v>347</v>
      </c>
      <c r="I28" s="23"/>
    </row>
    <row r="30" customFormat="false" ht="15" hidden="false" customHeight="false" outlineLevel="0" collapsed="false">
      <c r="A30" s="24" t="s">
        <v>422</v>
      </c>
    </row>
  </sheetData>
  <hyperlinks>
    <hyperlink ref="A30" r:id="rId1" location="'3.%20Danh%20mục%20bảng'!A1" display="← Về danh mục bả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2026-09-23T03:34:10Z</dcterms:created>
  <dc:creator>openpyxl</dc:creator>
  <dc:description/>
  <dc:language>en-US</dc:language>
  <cp:lastModifiedBy/>
  <dcterms:modified xsi:type="dcterms:W3CDTF">2026-09-23T03:34:10Z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