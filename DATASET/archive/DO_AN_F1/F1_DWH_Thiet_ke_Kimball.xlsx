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1. Quy trình 4 bước" sheetId="2" state="visible" r:id="rId4"/>
    <sheet name="2. Ma trận bus" sheetId="3" state="visible" r:id="rId5"/>
    <sheet name="3. Danh mục bảng" sheetId="4" state="visible" r:id="rId6"/>
    <sheet name="DimDate" sheetId="5" state="visible" r:id="rId7"/>
    <sheet name="DimRace" sheetId="6" state="visible" r:id="rId8"/>
    <sheet name="DimCircuit" sheetId="7" state="visible" r:id="rId9"/>
    <sheet name="DimDriver" sheetId="8" state="visible" r:id="rId10"/>
    <sheet name="DimConstructor" sheetId="9" state="visible" r:id="rId11"/>
    <sheet name="DimStatus" sheetId="10" state="visible" r:id="rId12"/>
    <sheet name="FactRaceResult" sheetId="11" state="visible" r:id="rId13"/>
    <sheet name="FactQualifying" sheetId="12" state="visible" r:id="rId14"/>
    <sheet name="FactLapTime" sheetId="13" state="visible" r:id="rId15"/>
    <sheet name="FactPitStop" sheetId="14" state="visible" r:id="rId16"/>
    <sheet name="FactDriverStanding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<sst xmlns="http://schemas.openxmlformats.org/spreadsheetml/2006/main" count="918" uniqueCount="393">
  <si>
    <t xml:space="preserve">THIẾT KẾ KHO DỮ LIỆU CÔNG THỨC 1 (F1_DWH) – PHƯƠNG PHÁP KIMBALL</t>
  </si>
  <si>
    <t xml:space="preserve">Tài liệu đặc tả thiết kế · dữ liệu 1950–2024</t>
  </si>
  <si>
    <t xml:space="preserve">Mục</t>
  </si>
  <si>
    <t xml:space="preserve">Nội dung</t>
  </si>
  <si>
    <t xml:space="preserve">Đề tài</t>
  </si>
  <si>
    <t xml:space="preserve">Xây dựng kho dữ liệu kết quả giải đua Công thức 1 (Formula 1) giai đoạn 1950–2024</t>
  </si>
  <si>
    <t xml:space="preserve">Dữ liệu nguồn</t>
  </si>
  <si>
    <t xml:space="preserve">14 tệp CSV → cơ sở dữ liệu nguồn F1_SOURCE (14 bảng)</t>
  </si>
  <si>
    <t xml:space="preserve">Phương pháp</t>
  </si>
  <si>
    <t xml:space="preserve">Kimball: chọn quy trình nghiệp vụ → khai báo hạt → xác định chiều → xác định độ đo</t>
  </si>
  <si>
    <t xml:space="preserve">Lược đồ</t>
  </si>
  <si>
    <t xml:space="preserve">Lược đồ hình sao cho từng quy trình; 5 bảng sự kiện dùng chung 6 bảng chiều</t>
  </si>
  <si>
    <t xml:space="preserve">Phạm vi</t>
  </si>
  <si>
    <t xml:space="preserve">Chỉ kết quả chặng Grand Prix (không gồm đua nước rút Sprint)</t>
  </si>
  <si>
    <t xml:space="preserve">Xử lý thay đổi (SCD)</t>
  </si>
  <si>
    <t xml:space="preserve">Loại 1 – ghi đè, vì dữ liệu nguồn là bản chụp tĩnh, không theo dõi lịch sử thay đổi</t>
  </si>
  <si>
    <t xml:space="preserve">Thứ tự chạy</t>
  </si>
  <si>
    <t xml:space="preserve">00_tao_CSDL_nguon_F1_SOURCE.sql → 01_tao_kho_F1_DWH.sql → 02_ETL_nap_du_lieu.sql → 03_truy_van_phan_tich.sql</t>
  </si>
  <si>
    <t xml:space="preserve">Chú thích màu</t>
  </si>
  <si>
    <t xml:space="preserve">Bảng chiều</t>
  </si>
  <si>
    <t xml:space="preserve">Bảng sự kiện</t>
  </si>
  <si>
    <t xml:space="preserve">Cột khoá (chính / ngoại)</t>
  </si>
  <si>
    <t xml:space="preserve">Danh mục sheet</t>
  </si>
  <si>
    <t xml:space="preserve">1. Quy trình 4 bước</t>
  </si>
  <si>
    <t xml:space="preserve">2. Ma trận bus</t>
  </si>
  <si>
    <t xml:space="preserve">3. Danh mục bảng</t>
  </si>
  <si>
    <t xml:space="preserve">DimDate</t>
  </si>
  <si>
    <t xml:space="preserve">Đặc tả cột và ánh xạ nguồn → đích</t>
  </si>
  <si>
    <t xml:space="preserve">DimRace</t>
  </si>
  <si>
    <t xml:space="preserve">DimCircuit</t>
  </si>
  <si>
    <t xml:space="preserve">DimDriver</t>
  </si>
  <si>
    <t xml:space="preserve">DimConstructor</t>
  </si>
  <si>
    <t xml:space="preserve">DimStatus</t>
  </si>
  <si>
    <t xml:space="preserve">FactRaceResult</t>
  </si>
  <si>
    <t xml:space="preserve">FactQualifying</t>
  </si>
  <si>
    <t xml:space="preserve">FactLapTime</t>
  </si>
  <si>
    <t xml:space="preserve">FactPitStop</t>
  </si>
  <si>
    <t xml:space="preserve">FactDriverStanding</t>
  </si>
  <si>
    <t xml:space="preserve">QUY TRÌNH THIẾT KẾ 4 BƯỚC CỦA KIMBALL</t>
  </si>
  <si>
    <t xml:space="preserve">STT</t>
  </si>
  <si>
    <t xml:space="preserve">Bước 1. Quy trình nghiệp vụ</t>
  </si>
  <si>
    <t xml:space="preserve">Loại bảng</t>
  </si>
  <si>
    <t xml:space="preserve">Bước 2. Hạt</t>
  </si>
  <si>
    <t xml:space="preserve">Bước 3. Các chiều</t>
  </si>
  <si>
    <t xml:space="preserve">Bước 4. Các độ đo</t>
  </si>
  <si>
    <t xml:space="preserve">Ví dụ một dòng</t>
  </si>
  <si>
    <t xml:space="preserve">Kết quả đua</t>
  </si>
  <si>
    <t xml:space="preserve">Giao dịch</t>
  </si>
  <si>
    <t xml:space="preserve">1 dòng = 1 tay đua × 1 chặng Grand Prix</t>
  </si>
  <si>
    <t xml:space="preserve">DimDate, DimRace, DimCircuit, DimDriver, DimConstructor, DimStatus</t>
  </si>
  <si>
    <t xml:space="preserve">GridPosition, FinishPosition, Points, LapsCompleted, RaceTimeMs, FastestLapTimeMs, IsWin, IsPodium, IsFinished</t>
  </si>
  <si>
    <t xml:space="preserve">Hamilton – Mercedes – Bahrain 2024: xuất phát 9, về đích 7, được 6 điểm, hoàn thành 57 vòng.</t>
  </si>
  <si>
    <t xml:space="preserve">Phân hạng</t>
  </si>
  <si>
    <t xml:space="preserve">1 dòng = 1 tay đua × 1 chặng (từ năm 1994)</t>
  </si>
  <si>
    <t xml:space="preserve">DimDate, DimRace, DimCircuit, DimDriver, DimConstructor</t>
  </si>
  <si>
    <t xml:space="preserve">QualiPosition, Q1Ms, Q2Ms, Q3Ms, BestLapMs</t>
  </si>
  <si>
    <t xml:space="preserve">Hamilton – Mercedes – Bahrain 2024: phân hạng thứ 9, Q3 = 89710 ms (1:29,710).</t>
  </si>
  <si>
    <t xml:space="preserve">Tính giờ từng vòng</t>
  </si>
  <si>
    <t xml:space="preserve">1 dòng = 1 tay đua × 1 vòng × 1 chặng (từ năm 1996)</t>
  </si>
  <si>
    <t xml:space="preserve">DimDate, DimRace, DimCircuit, DimDriver</t>
  </si>
  <si>
    <t xml:space="preserve">PositionOnLap, LapTimeMs</t>
  </si>
  <si>
    <t xml:space="preserve">Hamilton – Bahrain 2024 – vòng 10: 98037 ms, đang ở vị trí 8.</t>
  </si>
  <si>
    <t xml:space="preserve">Vào pit</t>
  </si>
  <si>
    <t xml:space="preserve">1 dòng = 1 lần vào pit (từ năm 2011)</t>
  </si>
  <si>
    <t xml:space="preserve">LapNumber, DurationMs</t>
  </si>
  <si>
    <t xml:space="preserve">Hamilton – Mercedes – Bahrain 2024 – lần 1: vào pit ở vòng 12, mất 25087 ms qua làn pit.</t>
  </si>
  <si>
    <t xml:space="preserve">Xếp hạng tay đua</t>
  </si>
  <si>
    <t xml:space="preserve">Ảnh chụp định kỳ</t>
  </si>
  <si>
    <t xml:space="preserve">1 dòng = 1 tay đua × sau mỗi chặng</t>
  </si>
  <si>
    <t xml:space="preserve">DimDate, DimRace, DimDriver</t>
  </si>
  <si>
    <t xml:space="preserve">StandingPosition, TotalPoints, TotalWins</t>
  </si>
  <si>
    <t xml:space="preserve">Sau chặng Bahrain 2024: Hamilton đứng hạng 7 với tổng 6 điểm, 0 trận thắng.</t>
  </si>
  <si>
    <t xml:space="preserve">MA TRẬN BUS</t>
  </si>
  <si>
    <t xml:space="preserve">Hàng: bảng sự kiện · Cột: bảng chiều · X: bảng sự kiện có dùng bảng chiều đó</t>
  </si>
  <si>
    <t xml:space="preserve">Quy trình</t>
  </si>
  <si>
    <t xml:space="preserve">Số chiều</t>
  </si>
  <si>
    <t xml:space="preserve">X</t>
  </si>
  <si>
    <t xml:space="preserve">Số bảng sự kiện dùng chiều</t>
  </si>
  <si>
    <t xml:space="preserve">DANH MỤC BẢNG TRONG KHO F1_DWH</t>
  </si>
  <si>
    <t xml:space="preserve">Số cột được đếm bằng công thức từ sheet đặc tả của từng bảng</t>
  </si>
  <si>
    <t xml:space="preserve">Bảng</t>
  </si>
  <si>
    <t xml:space="preserve">Loại</t>
  </si>
  <si>
    <t xml:space="preserve">Kiểu bảng sự kiện</t>
  </si>
  <si>
    <t xml:space="preserve">Hạt</t>
  </si>
  <si>
    <t xml:space="preserve">Số dòng mong đợi</t>
  </si>
  <si>
    <t xml:space="preserve">Số cột</t>
  </si>
  <si>
    <t xml:space="preserve">Mô tả</t>
  </si>
  <si>
    <t xml:space="preserve">Chiều</t>
  </si>
  <si>
    <t xml:space="preserve">–</t>
  </si>
  <si>
    <t xml:space="preserve">1 dòng = 1 ngày (01/01/1950 → 31/12/2024)</t>
  </si>
  <si>
    <t xml:space="preserve">Chiều thời gian. Dùng để phân tích theo năm, quý, tháng, thập kỷ.</t>
  </si>
  <si>
    <t xml:space="preserve">1 dòng = 1 chặng đua</t>
  </si>
  <si>
    <t xml:space="preserve">Chặng đua Grand Prix và mùa giải của chặng.</t>
  </si>
  <si>
    <t xml:space="preserve">1 dòng = 1 trường đua</t>
  </si>
  <si>
    <t xml:space="preserve">Trường đua và vị trí địa lý.</t>
  </si>
  <si>
    <t xml:space="preserve">1 dòng = 1 tay đua</t>
  </si>
  <si>
    <t xml:space="preserve">Thông tin tay đua.</t>
  </si>
  <si>
    <t xml:space="preserve">1 dòng = 1 đội đua</t>
  </si>
  <si>
    <t xml:space="preserve">Thông tin đội đua.</t>
  </si>
  <si>
    <t xml:space="preserve">1 dòng = 1 trạng thái kết thúc</t>
  </si>
  <si>
    <t xml:space="preserve">Trạng thái khi kết thúc cuộc đua, gom thành 3 nhóm.</t>
  </si>
  <si>
    <t xml:space="preserve">Sự kiện</t>
  </si>
  <si>
    <t xml:space="preserve">Kết quả thi đấu của mỗi tay đua ở mỗi chặng.</t>
  </si>
  <si>
    <t xml:space="preserve">Kết quả phân hạng trước mỗi chặng đua.</t>
  </si>
  <si>
    <t xml:space="preserve">Thời gian từng vòng đua – bảng có mức chi tiết nhất.</t>
  </si>
  <si>
    <t xml:space="preserve">Mỗi lần tay đua vào pit thay lốp, sửa xe.</t>
  </si>
  <si>
    <t xml:space="preserve">Bảng xếp hạng tay đua được chụp lại sau mỗi chặng.</t>
  </si>
  <si>
    <t xml:space="preserve">Tổng</t>
  </si>
  <si>
    <t xml:space="preserve">Hạt:</t>
  </si>
  <si>
    <t xml:space="preserve">Loại:</t>
  </si>
  <si>
    <t xml:space="preserve">Cột</t>
  </si>
  <si>
    <t xml:space="preserve">Kiểu dữ liệu</t>
  </si>
  <si>
    <t xml:space="preserve">Khoá / vai trò</t>
  </si>
  <si>
    <t xml:space="preserve">Tính cộng dồn</t>
  </si>
  <si>
    <t xml:space="preserve">Nguồn (F1_SOURCE)</t>
  </si>
  <si>
    <t xml:space="preserve">Cách lấy / biến đổi</t>
  </si>
  <si>
    <t xml:space="preserve">Ví dụ</t>
  </si>
  <si>
    <t xml:space="preserve">DateKey</t>
  </si>
  <si>
    <t xml:space="preserve">INT</t>
  </si>
  <si>
    <t xml:space="preserve">Khoá chính</t>
  </si>
  <si>
    <t xml:space="preserve">Khoá dạng yyyymmdd</t>
  </si>
  <si>
    <t xml:space="preserve">Sinh tự động</t>
  </si>
  <si>
    <t xml:space="preserve">Năm×10000 + Tháng×100 + Ngày</t>
  </si>
  <si>
    <t xml:space="preserve">20240302</t>
  </si>
  <si>
    <t xml:space="preserve">FullDate</t>
  </si>
  <si>
    <t xml:space="preserve">DATE</t>
  </si>
  <si>
    <t xml:space="preserve">Thuộc tính</t>
  </si>
  <si>
    <t xml:space="preserve">Ngày đầy đủ</t>
  </si>
  <si>
    <t xml:space="preserve">Vòng lặp từng ngày</t>
  </si>
  <si>
    <t xml:space="preserve">2024-03-02</t>
  </si>
  <si>
    <t xml:space="preserve">Day</t>
  </si>
  <si>
    <t xml:space="preserve">TINYINT</t>
  </si>
  <si>
    <t xml:space="preserve">Ngày trong tháng</t>
  </si>
  <si>
    <t xml:space="preserve">DAY(FullDate)</t>
  </si>
  <si>
    <t xml:space="preserve">2</t>
  </si>
  <si>
    <t xml:space="preserve">Month</t>
  </si>
  <si>
    <t xml:space="preserve">Tháng</t>
  </si>
  <si>
    <t xml:space="preserve">MONTH(FullDate)</t>
  </si>
  <si>
    <t xml:space="preserve">3</t>
  </si>
  <si>
    <t xml:space="preserve">Quarter</t>
  </si>
  <si>
    <t xml:space="preserve">Quý</t>
  </si>
  <si>
    <t xml:space="preserve">DATEPART(QUARTER, FullDate)</t>
  </si>
  <si>
    <t xml:space="preserve">1</t>
  </si>
  <si>
    <t xml:space="preserve">Year</t>
  </si>
  <si>
    <t xml:space="preserve">SMALLINT</t>
  </si>
  <si>
    <t xml:space="preserve">Năm</t>
  </si>
  <si>
    <t xml:space="preserve">YEAR(FullDate)</t>
  </si>
  <si>
    <t xml:space="preserve">2024</t>
  </si>
  <si>
    <t xml:space="preserve">Decade</t>
  </si>
  <si>
    <t xml:space="preserve">NVARCHAR(10)</t>
  </si>
  <si>
    <t xml:space="preserve">Thập kỷ</t>
  </si>
  <si>
    <t xml:space="preserve">Năm/10×10 + 's'</t>
  </si>
  <si>
    <t xml:space="preserve">2020s</t>
  </si>
  <si>
    <t xml:space="preserve">← Về danh mục bảng</t>
  </si>
  <si>
    <t xml:space="preserve">RaceKey</t>
  </si>
  <si>
    <t xml:space="preserve">INT IDENTITY</t>
  </si>
  <si>
    <t xml:space="preserve">Khoá chính (khoá thay thế)</t>
  </si>
  <si>
    <t xml:space="preserve">Khoá do kho tự sinh</t>
  </si>
  <si>
    <t xml:space="preserve">Tự sinh</t>
  </si>
  <si>
    <t xml:space="preserve">IDENTITY(1,1)</t>
  </si>
  <si>
    <t xml:space="preserve">RaceID</t>
  </si>
  <si>
    <t xml:space="preserve">Mã gốc</t>
  </si>
  <si>
    <t xml:space="preserve">Mã chặng ở nguồn</t>
  </si>
  <si>
    <t xml:space="preserve">races.raceId</t>
  </si>
  <si>
    <t xml:space="preserve">Giữ nguyên</t>
  </si>
  <si>
    <t xml:space="preserve">1121</t>
  </si>
  <si>
    <t xml:space="preserve">RaceName</t>
  </si>
  <si>
    <t xml:space="preserve">NVARCHAR(100)</t>
  </si>
  <si>
    <t xml:space="preserve">Tên chặng</t>
  </si>
  <si>
    <t xml:space="preserve">races.name</t>
  </si>
  <si>
    <t xml:space="preserve">Bahrain Grand Prix</t>
  </si>
  <si>
    <t xml:space="preserve">Season</t>
  </si>
  <si>
    <t xml:space="preserve">Mùa giải</t>
  </si>
  <si>
    <t xml:space="preserve">races.year</t>
  </si>
  <si>
    <t xml:space="preserve">Round</t>
  </si>
  <si>
    <t xml:space="preserve">Chặng thứ mấy trong mùa</t>
  </si>
  <si>
    <t xml:space="preserve">races.round</t>
  </si>
  <si>
    <t xml:space="preserve">CircuitKey</t>
  </si>
  <si>
    <t xml:space="preserve">CircuitID</t>
  </si>
  <si>
    <t xml:space="preserve">Mã trường đua ở nguồn</t>
  </si>
  <si>
    <t xml:space="preserve">circuits.circuitId</t>
  </si>
  <si>
    <t xml:space="preserve">CircuitName</t>
  </si>
  <si>
    <t xml:space="preserve">Tên trường đua</t>
  </si>
  <si>
    <t xml:space="preserve">circuits.name</t>
  </si>
  <si>
    <t xml:space="preserve">Bahrain International Circuit</t>
  </si>
  <si>
    <t xml:space="preserve">City</t>
  </si>
  <si>
    <t xml:space="preserve">Thành phố</t>
  </si>
  <si>
    <t xml:space="preserve">circuits.location</t>
  </si>
  <si>
    <t xml:space="preserve">Sakhir</t>
  </si>
  <si>
    <t xml:space="preserve">Country</t>
  </si>
  <si>
    <t xml:space="preserve">NVARCHAR(50)</t>
  </si>
  <si>
    <t xml:space="preserve">Quốc gia</t>
  </si>
  <si>
    <t xml:space="preserve">circuits.country</t>
  </si>
  <si>
    <t xml:space="preserve">Đổi 'United States' thành 'USA'</t>
  </si>
  <si>
    <t xml:space="preserve">Bahrain</t>
  </si>
  <si>
    <t xml:space="preserve">DriverKey</t>
  </si>
  <si>
    <t xml:space="preserve">DriverID</t>
  </si>
  <si>
    <t xml:space="preserve">Mã tay đua ở nguồn</t>
  </si>
  <si>
    <t xml:space="preserve">drivers.driverId</t>
  </si>
  <si>
    <t xml:space="preserve">DriverCode</t>
  </si>
  <si>
    <t xml:space="preserve">NVARCHAR(3)</t>
  </si>
  <si>
    <t xml:space="preserve">Mã 3 chữ cái</t>
  </si>
  <si>
    <t xml:space="preserve">drivers.code</t>
  </si>
  <si>
    <t xml:space="preserve">Giữ nguyên (có thể rỗng)</t>
  </si>
  <si>
    <t xml:space="preserve">HAM</t>
  </si>
  <si>
    <t xml:space="preserve">FullName</t>
  </si>
  <si>
    <t xml:space="preserve">NVARCHAR(101)</t>
  </si>
  <si>
    <t xml:space="preserve">Họ tên đầy đủ</t>
  </si>
  <si>
    <t xml:space="preserve">drivers.forename, surname</t>
  </si>
  <si>
    <t xml:space="preserve">Ghép tên + ' ' + họ</t>
  </si>
  <si>
    <t xml:space="preserve">Lewis Hamilton</t>
  </si>
  <si>
    <t xml:space="preserve">DateOfBirth</t>
  </si>
  <si>
    <t xml:space="preserve">Ngày sinh</t>
  </si>
  <si>
    <t xml:space="preserve">drivers.dob</t>
  </si>
  <si>
    <t xml:space="preserve">1985-01-07</t>
  </si>
  <si>
    <t xml:space="preserve">Nationality</t>
  </si>
  <si>
    <t xml:space="preserve">Quốc tịch</t>
  </si>
  <si>
    <t xml:space="preserve">drivers.nationality</t>
  </si>
  <si>
    <t xml:space="preserve">Bỏ khoảng trắng thừa</t>
  </si>
  <si>
    <t xml:space="preserve">British</t>
  </si>
  <si>
    <t xml:space="preserve">ConstructorKey</t>
  </si>
  <si>
    <t xml:space="preserve">ConstructorID</t>
  </si>
  <si>
    <t xml:space="preserve">Mã đội ở nguồn</t>
  </si>
  <si>
    <t xml:space="preserve">constructors.constructorId</t>
  </si>
  <si>
    <t xml:space="preserve">131</t>
  </si>
  <si>
    <t xml:space="preserve">ConstructorName</t>
  </si>
  <si>
    <t xml:space="preserve">Tên đội</t>
  </si>
  <si>
    <t xml:space="preserve">constructors.name</t>
  </si>
  <si>
    <t xml:space="preserve">Mercedes</t>
  </si>
  <si>
    <t xml:space="preserve">Quốc tịch đội</t>
  </si>
  <si>
    <t xml:space="preserve">constructors.nationality</t>
  </si>
  <si>
    <t xml:space="preserve">German</t>
  </si>
  <si>
    <t xml:space="preserve">StatusKey</t>
  </si>
  <si>
    <t xml:space="preserve">StatusID</t>
  </si>
  <si>
    <t xml:space="preserve">Mã trạng thái ở nguồn</t>
  </si>
  <si>
    <t xml:space="preserve">status.statusId</t>
  </si>
  <si>
    <t xml:space="preserve">5</t>
  </si>
  <si>
    <t xml:space="preserve">StatusName</t>
  </si>
  <si>
    <t xml:space="preserve">Trạng thái gốc</t>
  </si>
  <si>
    <t xml:space="preserve">status.status</t>
  </si>
  <si>
    <t xml:space="preserve">Engine</t>
  </si>
  <si>
    <t xml:space="preserve">StatusGroup</t>
  </si>
  <si>
    <t xml:space="preserve">NVARCHAR(30)</t>
  </si>
  <si>
    <t xml:space="preserve">Nhóm trạng thái</t>
  </si>
  <si>
    <t xml:space="preserve">'Finished' → Hoàn thành; '+n Lap(s)' → Hoàn thành (bị bắt vòng); còn lại → Không hoàn thành</t>
  </si>
  <si>
    <t xml:space="preserve">Không hoàn thành</t>
  </si>
  <si>
    <t xml:space="preserve">Sự kiện – Giao dịch</t>
  </si>
  <si>
    <t xml:space="preserve">ResultID</t>
  </si>
  <si>
    <t xml:space="preserve">Mã kết quả ở nguồn (mỗi dòng một mã)</t>
  </si>
  <si>
    <t xml:space="preserve">results.resultId</t>
  </si>
  <si>
    <t xml:space="preserve">26292</t>
  </si>
  <si>
    <t xml:space="preserve">Khoá ngoại → DimDate</t>
  </si>
  <si>
    <t xml:space="preserve">Trỏ tới bảng DimDate</t>
  </si>
  <si>
    <t xml:space="preserve">races.date</t>
  </si>
  <si>
    <t xml:space="preserve">Đổi ngày đua sang yyyymmdd</t>
  </si>
  <si>
    <t xml:space="preserve">Khoá ngoại → DimRace</t>
  </si>
  <si>
    <t xml:space="preserve">Trỏ tới bảng DimRace</t>
  </si>
  <si>
    <t xml:space="preserve">results.raceId</t>
  </si>
  <si>
    <t xml:space="preserve">Tra DimRace theo RaceID</t>
  </si>
  <si>
    <t xml:space="preserve">Khoá ngoại → DimCircuit</t>
  </si>
  <si>
    <t xml:space="preserve">Trỏ tới bảng DimCircuit</t>
  </si>
  <si>
    <t xml:space="preserve">races.circuitId</t>
  </si>
  <si>
    <t xml:space="preserve">Tra DimCircuit theo CircuitID</t>
  </si>
  <si>
    <t xml:space="preserve">Khoá ngoại → DimDriver</t>
  </si>
  <si>
    <t xml:space="preserve">Trỏ tới bảng DimDriver</t>
  </si>
  <si>
    <t xml:space="preserve">results.driverId</t>
  </si>
  <si>
    <t xml:space="preserve">Tra DimDriver theo DriverID</t>
  </si>
  <si>
    <t xml:space="preserve">Khoá ngoại → DimConstructor</t>
  </si>
  <si>
    <t xml:space="preserve">Trỏ tới bảng DimConstructor</t>
  </si>
  <si>
    <t xml:space="preserve">results.constructorId</t>
  </si>
  <si>
    <t xml:space="preserve">Tra DimConstructor theo ConstructorID</t>
  </si>
  <si>
    <t xml:space="preserve">Khoá ngoại → DimStatus</t>
  </si>
  <si>
    <t xml:space="preserve">Trỏ tới bảng DimStatus</t>
  </si>
  <si>
    <t xml:space="preserve">results.statusId</t>
  </si>
  <si>
    <t xml:space="preserve">Tra DimStatus theo StatusID</t>
  </si>
  <si>
    <t xml:space="preserve">GridPosition</t>
  </si>
  <si>
    <t xml:space="preserve">Độ đo</t>
  </si>
  <si>
    <t xml:space="preserve">Không cộng dồn</t>
  </si>
  <si>
    <t xml:space="preserve">Vị trí xuất phát (0 = xuất phát từ làn pit)</t>
  </si>
  <si>
    <t xml:space="preserve">results.grid</t>
  </si>
  <si>
    <t xml:space="preserve">9</t>
  </si>
  <si>
    <t xml:space="preserve">FinishPosition</t>
  </si>
  <si>
    <t xml:space="preserve">Vị trí về đích (rỗng = không được xếp hạng)</t>
  </si>
  <si>
    <t xml:space="preserve">results.position</t>
  </si>
  <si>
    <t xml:space="preserve">7</t>
  </si>
  <si>
    <t xml:space="preserve">Points</t>
  </si>
  <si>
    <t xml:space="preserve">DECIMAL(5,2)</t>
  </si>
  <si>
    <t xml:space="preserve">Cộng dồn đầy đủ</t>
  </si>
  <si>
    <t xml:space="preserve">Điểm giành được</t>
  </si>
  <si>
    <t xml:space="preserve">results.points</t>
  </si>
  <si>
    <t xml:space="preserve">6</t>
  </si>
  <si>
    <t xml:space="preserve">LapsCompleted</t>
  </si>
  <si>
    <t xml:space="preserve">Số vòng đã chạy</t>
  </si>
  <si>
    <t xml:space="preserve">results.laps</t>
  </si>
  <si>
    <t xml:space="preserve">57</t>
  </si>
  <si>
    <t xml:space="preserve">RaceTimeMs</t>
  </si>
  <si>
    <t xml:space="preserve">BIGINT</t>
  </si>
  <si>
    <t xml:space="preserve">Tổng thời gian đua (mili-giây)</t>
  </si>
  <si>
    <t xml:space="preserve">results.milliseconds</t>
  </si>
  <si>
    <t xml:space="preserve">5555066</t>
  </si>
  <si>
    <t xml:space="preserve">FastestLapTimeMs</t>
  </si>
  <si>
    <t xml:space="preserve">Vòng nhanh nhất của tay đua (mili-giây)</t>
  </si>
  <si>
    <t xml:space="preserve">results.fastestLapTime</t>
  </si>
  <si>
    <t xml:space="preserve">Đổi '1:34.722' → 94722</t>
  </si>
  <si>
    <t xml:space="preserve">94722</t>
  </si>
  <si>
    <t xml:space="preserve">IsWin</t>
  </si>
  <si>
    <t xml:space="preserve">1 nếu thắng chặng, 0 nếu không</t>
  </si>
  <si>
    <t xml:space="preserve">position = 1 → 1</t>
  </si>
  <si>
    <t xml:space="preserve">0</t>
  </si>
  <si>
    <t xml:space="preserve">IsPodium</t>
  </si>
  <si>
    <t xml:space="preserve">1 nếu về trong top 3</t>
  </si>
  <si>
    <t xml:space="preserve">position ≤ 3 → 1</t>
  </si>
  <si>
    <t xml:space="preserve">IsFinished</t>
  </si>
  <si>
    <t xml:space="preserve">1 nếu hoàn thành cuộc đua</t>
  </si>
  <si>
    <t xml:space="preserve">DimStatus.StatusGroup</t>
  </si>
  <si>
    <t xml:space="preserve">Nhóm ≠ 'Không hoàn thành' → 1</t>
  </si>
  <si>
    <t xml:space="preserve">QualifyID</t>
  </si>
  <si>
    <t xml:space="preserve">Mã phân hạng ở nguồn</t>
  </si>
  <si>
    <t xml:space="preserve">qualifying.qualifyId</t>
  </si>
  <si>
    <t xml:space="preserve">10081</t>
  </si>
  <si>
    <t xml:space="preserve">qualifying.raceId</t>
  </si>
  <si>
    <t xml:space="preserve">Tra DimRace</t>
  </si>
  <si>
    <t xml:space="preserve">Tra DimCircuit</t>
  </si>
  <si>
    <t xml:space="preserve">qualifying.driverId</t>
  </si>
  <si>
    <t xml:space="preserve">Tra DimDriver</t>
  </si>
  <si>
    <t xml:space="preserve">qualifying.constructorId</t>
  </si>
  <si>
    <t xml:space="preserve">Tra DimConstructor</t>
  </si>
  <si>
    <t xml:space="preserve">QualiPosition</t>
  </si>
  <si>
    <t xml:space="preserve">Vị trí phân hạng</t>
  </si>
  <si>
    <t xml:space="preserve">qualifying.position</t>
  </si>
  <si>
    <t xml:space="preserve">Q1Ms</t>
  </si>
  <si>
    <t xml:space="preserve">Thời gian vòng Q1 (mili-giây)</t>
  </si>
  <si>
    <t xml:space="preserve">qualifying.q1</t>
  </si>
  <si>
    <t xml:space="preserve">Đổi chuỗi thời gian → mili-giây</t>
  </si>
  <si>
    <t xml:space="preserve">90451</t>
  </si>
  <si>
    <t xml:space="preserve">Q2Ms</t>
  </si>
  <si>
    <t xml:space="preserve">Thời gian vòng Q2 (mili-giây)</t>
  </si>
  <si>
    <t xml:space="preserve">qualifying.q2</t>
  </si>
  <si>
    <t xml:space="preserve">89718</t>
  </si>
  <si>
    <t xml:space="preserve">Q3Ms</t>
  </si>
  <si>
    <t xml:space="preserve">Thời gian vòng Q3 (mili-giây)</t>
  </si>
  <si>
    <t xml:space="preserve">qualifying.q3</t>
  </si>
  <si>
    <t xml:space="preserve">89710</t>
  </si>
  <si>
    <t xml:space="preserve">BestLapMs</t>
  </si>
  <si>
    <t xml:space="preserve">Thời gian tốt nhất trong 3 vòng</t>
  </si>
  <si>
    <t xml:space="preserve">Q1Ms, Q2Ms, Q3Ms</t>
  </si>
  <si>
    <t xml:space="preserve">Lấy giá trị nhỏ nhất</t>
  </si>
  <si>
    <t xml:space="preserve">Khoá chính, Khoá ngoại → DimRace</t>
  </si>
  <si>
    <t xml:space="preserve">Chặng</t>
  </si>
  <si>
    <t xml:space="preserve">lap_times.raceId</t>
  </si>
  <si>
    <t xml:space="preserve">Khoá chính, Khoá ngoại → DimDriver</t>
  </si>
  <si>
    <t xml:space="preserve">Tay đua</t>
  </si>
  <si>
    <t xml:space="preserve">lap_times.driverId</t>
  </si>
  <si>
    <t xml:space="preserve">LapNumber</t>
  </si>
  <si>
    <t xml:space="preserve">Vòng thứ mấy</t>
  </si>
  <si>
    <t xml:space="preserve">lap_times.lap</t>
  </si>
  <si>
    <t xml:space="preserve">10</t>
  </si>
  <si>
    <t xml:space="preserve">PositionOnLap</t>
  </si>
  <si>
    <t xml:space="preserve">Vị trí sau vòng đó</t>
  </si>
  <si>
    <t xml:space="preserve">lap_times.position</t>
  </si>
  <si>
    <t xml:space="preserve">8</t>
  </si>
  <si>
    <t xml:space="preserve">LapTimeMs</t>
  </si>
  <si>
    <t xml:space="preserve">Thời gian vòng (mili-giây)</t>
  </si>
  <si>
    <t xml:space="preserve">lap_times.milliseconds</t>
  </si>
  <si>
    <t xml:space="preserve">98037</t>
  </si>
  <si>
    <t xml:space="preserve">pit_stops.raceId</t>
  </si>
  <si>
    <t xml:space="preserve">pit_stops.driverId</t>
  </si>
  <si>
    <t xml:space="preserve">Nguồn không có đội → lấy đội của tay đua ở chặng đó từ bảng results</t>
  </si>
  <si>
    <t xml:space="preserve">StopNumber</t>
  </si>
  <si>
    <t xml:space="preserve">Lần vào pit thứ mấy</t>
  </si>
  <si>
    <t xml:space="preserve">pit_stops.stop</t>
  </si>
  <si>
    <t xml:space="preserve">Vào pit ở vòng nào</t>
  </si>
  <si>
    <t xml:space="preserve">pit_stops.lap</t>
  </si>
  <si>
    <t xml:space="preserve">12</t>
  </si>
  <si>
    <t xml:space="preserve">DurationMs</t>
  </si>
  <si>
    <t xml:space="preserve">Thời gian đi qua làn pit (mili-giây)</t>
  </si>
  <si>
    <t xml:space="preserve">pit_stops.milliseconds</t>
  </si>
  <si>
    <t xml:space="preserve">25087</t>
  </si>
  <si>
    <t xml:space="preserve">Sự kiện – Ảnh chụp định kỳ</t>
  </si>
  <si>
    <t xml:space="preserve">Chặng (thời điểm chụp)</t>
  </si>
  <si>
    <t xml:space="preserve">driver_standings.raceId</t>
  </si>
  <si>
    <t xml:space="preserve">driver_standings.driverId</t>
  </si>
  <si>
    <t xml:space="preserve">StandingPosition</t>
  </si>
  <si>
    <t xml:space="preserve">Hạng hiện tại</t>
  </si>
  <si>
    <t xml:space="preserve">driver_standings.position</t>
  </si>
  <si>
    <t xml:space="preserve">TotalPoints</t>
  </si>
  <si>
    <t xml:space="preserve">DECIMAL(6,2)</t>
  </si>
  <si>
    <t xml:space="preserve">Cộng dồn một phần</t>
  </si>
  <si>
    <t xml:space="preserve">Tổng điểm luỹ kế đến chặng đó</t>
  </si>
  <si>
    <t xml:space="preserve">driver_standings.points</t>
  </si>
  <si>
    <t xml:space="preserve">TotalWins</t>
  </si>
  <si>
    <t xml:space="preserve">Tổng trận thắng luỹ kế</t>
  </si>
  <si>
    <t xml:space="preserve">driver_standings.wins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</si>
</sst>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D9E2F3"/>
        <bgColor rgb="FFE2EFDA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<Relationship Id="rId2" Type="http://schemas.openxmlformats.org/officeDocument/2006/relationships/hyperlink" Target="F1_DWH_Thiet_ke_Kimball.xlsx" TargetMode="External"/><Relationship Id="rId3" Type="http://schemas.openxmlformats.org/officeDocument/2006/relationships/hyperlink" Target="F1_DWH_Thiet_ke_Kimball.xlsx" TargetMode="External"/><Relationship Id="rId4" Type="http://schemas.openxmlformats.org/officeDocument/2006/relationships/hyperlink" Target="F1_DWH_Thiet_ke_Kimball.xlsx" TargetMode="External"/><Relationship Id="rId5" Type="http://schemas.openxmlformats.org/officeDocument/2006/relationships/hyperlink" Target="F1_DWH_Thiet_ke_Kimball.xlsx" TargetMode="External"/><Relationship Id="rId6" Type="http://schemas.openxmlformats.org/officeDocument/2006/relationships/hyperlink" Target="F1_DWH_Thiet_ke_Kimball.xlsx" TargetMode="External"/><Relationship Id="rId7" Type="http://schemas.openxmlformats.org/officeDocument/2006/relationships/hyperlink" Target="F1_DWH_Thiet_ke_Kimball.xlsx" TargetMode="External"/><Relationship Id="rId8" Type="http://schemas.openxmlformats.org/officeDocument/2006/relationships/hyperlink" Target="F1_DWH_Thiet_ke_Kimball.xlsx" TargetMode="External"/><Relationship Id="rId9" Type="http://schemas.openxmlformats.org/officeDocument/2006/relationships/hyperlink" Target="F1_DWH_Thiet_ke_Kimball.xlsx" TargetMode="External"/><Relationship Id="rId10" Type="http://schemas.openxmlformats.org/officeDocument/2006/relationships/hyperlink" Target="F1_DWH_Thiet_ke_Kimball.xlsx" TargetMode="External"/><Relationship Id="rId11" Type="http://schemas.openxmlformats.org/officeDocument/2006/relationships/hyperlink" Target="F1_DWH_Thiet_ke_Kimball.xlsx" TargetMode="External"/><Relationship Id="rId12" Type="http://schemas.openxmlformats.org/officeDocument/2006/relationships/hyperlink" Target="F1_DWH_Thiet_ke_Kimball.xlsx" TargetMode="External"/><Relationship Id="rId13" Type="http://schemas.openxmlformats.org/officeDocument/2006/relationships/hyperlink" Target="F1_DWH_Thiet_ke_Kimball.xlsx" TargetMode="External"/><Relationship Id="rId14" Type="http://schemas.openxmlformats.org/officeDocument/2006/relationships/hyperlink" Target="F1_DWH_Thiet_ke_Kimball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<Relationship Id="rId2" Type="http://schemas.openxmlformats.org/officeDocument/2006/relationships/hyperlink" Target="F1_DWH_Thiet_ke_Kimball.xlsx" TargetMode="External"/><Relationship Id="rId3" Type="http://schemas.openxmlformats.org/officeDocument/2006/relationships/hyperlink" Target="F1_DWH_Thiet_ke_Kimball.xlsx" TargetMode="External"/><Relationship Id="rId4" Type="http://schemas.openxmlformats.org/officeDocument/2006/relationships/hyperlink" Target="F1_DWH_Thiet_ke_Kimball.xlsx" TargetMode="External"/><Relationship Id="rId5" Type="http://schemas.openxmlformats.org/officeDocument/2006/relationships/hyperlink" Target="F1_DWH_Thiet_ke_Kimball.xlsx" TargetMode="External"/><Relationship Id="rId6" Type="http://schemas.openxmlformats.org/officeDocument/2006/relationships/hyperlink" Target="F1_DWH_Thiet_ke_Kimball.xlsx" TargetMode="External"/><Relationship Id="rId7" Type="http://schemas.openxmlformats.org/officeDocument/2006/relationships/hyperlink" Target="F1_DWH_Thiet_ke_Kimball.xlsx" TargetMode="External"/><Relationship Id="rId8" Type="http://schemas.openxmlformats.org/officeDocument/2006/relationships/hyperlink" Target="F1_DWH_Thiet_ke_Kimball.xlsx" TargetMode="External"/><Relationship Id="rId9" Type="http://schemas.openxmlformats.org/officeDocument/2006/relationships/hyperlink" Target="F1_DWH_Thiet_ke_Kimball.xlsx" TargetMode="External"/><Relationship Id="rId10" Type="http://schemas.openxmlformats.org/officeDocument/2006/relationships/hyperlink" Target="F1_DWH_Thiet_ke_Kimball.xlsx" TargetMode="External"/><Relationship Id="rId11" Type="http://schemas.openxmlformats.org/officeDocument/2006/relationships/hyperlink" Target="F1_DWH_Thiet_ke_Kimball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F1_DWH_Thiet_ke_Kimball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3" customFormat="false" ht="15" hidden="false" customHeight="false" outlineLevel="0" collapsed="false">
      <c r="A13" s="5" t="s">
        <v>18</v>
      </c>
    </row>
    <row r="14" customFormat="false" ht="15" hidden="false" customHeight="false" outlineLevel="0" collapsed="false">
      <c r="A14" s="6" t="s">
        <v>19</v>
      </c>
    </row>
    <row r="15" customFormat="false" ht="15" hidden="false" customHeight="false" outlineLevel="0" collapsed="false">
      <c r="A15" s="7" t="s">
        <v>20</v>
      </c>
    </row>
    <row r="16" customFormat="false" ht="15" hidden="false" customHeight="false" outlineLevel="0" collapsed="false">
      <c r="A16" s="8" t="s">
        <v>21</v>
      </c>
    </row>
    <row r="18" customFormat="false" ht="15" hidden="false" customHeight="false" outlineLevel="0" collapsed="false">
      <c r="A18" s="5" t="s">
        <v>22</v>
      </c>
    </row>
    <row r="19" customFormat="false" ht="15" hidden="false" customHeight="false" outlineLevel="0" collapsed="false">
      <c r="A19" s="9" t="s">
        <v>23</v>
      </c>
      <c r="B19" s="10"/>
    </row>
    <row r="20" customFormat="false" ht="15" hidden="false" customHeight="false" outlineLevel="0" collapsed="false">
      <c r="A20" s="9" t="s">
        <v>24</v>
      </c>
      <c r="B20" s="10"/>
    </row>
    <row r="21" customFormat="false" ht="15" hidden="false" customHeight="false" outlineLevel="0" collapsed="false">
      <c r="A21" s="9" t="s">
        <v>25</v>
      </c>
      <c r="B21" s="10"/>
    </row>
    <row r="22" customFormat="false" ht="15" hidden="false" customHeight="false" outlineLevel="0" collapsed="false">
      <c r="A22" s="9" t="s">
        <v>26</v>
      </c>
      <c r="B22" s="10" t="s">
        <v>27</v>
      </c>
    </row>
    <row r="23" customFormat="false" ht="15" hidden="false" customHeight="false" outlineLevel="0" collapsed="false">
      <c r="A23" s="9" t="s">
        <v>28</v>
      </c>
      <c r="B23" s="10" t="s">
        <v>27</v>
      </c>
    </row>
    <row r="24" customFormat="false" ht="15" hidden="false" customHeight="false" outlineLevel="0" collapsed="false">
      <c r="A24" s="9" t="s">
        <v>29</v>
      </c>
      <c r="B24" s="10" t="s">
        <v>27</v>
      </c>
    </row>
    <row r="25" customFormat="false" ht="15" hidden="false" customHeight="false" outlineLevel="0" collapsed="false">
      <c r="A25" s="9" t="s">
        <v>30</v>
      </c>
      <c r="B25" s="10" t="s">
        <v>27</v>
      </c>
    </row>
    <row r="26" customFormat="false" ht="15" hidden="false" customHeight="false" outlineLevel="0" collapsed="false">
      <c r="A26" s="9" t="s">
        <v>31</v>
      </c>
      <c r="B26" s="10" t="s">
        <v>27</v>
      </c>
    </row>
    <row r="27" customFormat="false" ht="15" hidden="false" customHeight="false" outlineLevel="0" collapsed="false">
      <c r="A27" s="9" t="s">
        <v>32</v>
      </c>
      <c r="B27" s="10" t="s">
        <v>27</v>
      </c>
    </row>
    <row r="28" customFormat="false" ht="15" hidden="false" customHeight="false" outlineLevel="0" collapsed="false">
      <c r="A28" s="9" t="s">
        <v>33</v>
      </c>
      <c r="B28" s="10" t="s">
        <v>27</v>
      </c>
    </row>
    <row r="29" customFormat="false" ht="15" hidden="false" customHeight="false" outlineLevel="0" collapsed="false">
      <c r="A29" s="9" t="s">
        <v>34</v>
      </c>
      <c r="B29" s="10" t="s">
        <v>27</v>
      </c>
    </row>
    <row r="30" customFormat="false" ht="15" hidden="false" customHeight="false" outlineLevel="0" collapsed="false">
      <c r="A30" s="9" t="s">
        <v>35</v>
      </c>
      <c r="B30" s="10" t="s">
        <v>27</v>
      </c>
    </row>
    <row r="31" customFormat="false" ht="15" hidden="false" customHeight="false" outlineLevel="0" collapsed="false">
      <c r="A31" s="9" t="s">
        <v>36</v>
      </c>
      <c r="B31" s="10" t="s">
        <v>27</v>
      </c>
    </row>
    <row r="32" customFormat="false" ht="15" hidden="false" customHeight="false" outlineLevel="0" collapsed="false">
      <c r="A32" s="9" t="s">
        <v>37</v>
      </c>
      <c r="B32" s="10" t="s">
        <v>27</v>
      </c>
    </row>
  </sheetData>
  <hyperlinks>
    <hyperlink ref="A19" r:id="rId1" location="'1.%20Quy%20trình%204%20bước'!A1" display="1. Quy trình 4 bước"/>
    <hyperlink ref="A20" r:id="rId2" location="'2.%20Ma%20trận%20bus'!A1" display="2. Ma trận bus"/>
    <hyperlink ref="A21" r:id="rId3" location="'3.%20Danh%20mục%20bảng'!A1" display="3. Danh mục bảng"/>
    <hyperlink ref="A22" r:id="rId4" location="'DimDate'!A1" display="DimDate"/>
    <hyperlink ref="A23" r:id="rId5" location="'DimRace'!A1" display="DimRace"/>
    <hyperlink ref="A24" r:id="rId6" location="'DimCircuit'!A1" display="DimCircuit"/>
    <hyperlink ref="A25" r:id="rId7" location="'DimDriver'!A1" display="DimDriver"/>
    <hyperlink ref="A26" r:id="rId8" location="'DimConstructor'!A1" display="DimConstructor"/>
    <hyperlink ref="A27" r:id="rId9" location="'DimStatus'!A1" display="DimStatus"/>
    <hyperlink ref="A28" r:id="rId10" location="'FactRaceResult'!A1" display="FactRaceResult"/>
    <hyperlink ref="A29" r:id="rId11" location="'FactQualifying'!A1" display="FactQualifying"/>
    <hyperlink ref="A30" r:id="rId12" location="'FactLapTime'!A1" display="FactLapTime"/>
    <hyperlink ref="A31" r:id="rId13" location="'FactPitStop'!A1" display="FactPitStop"/>
    <hyperlink ref="A32" r:id="rId14" location="'FactDriverStanding'!A1" display="FactDriverStand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42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38</v>
      </c>
    </row>
    <row r="4" customFormat="false" ht="23.85" hidden="false" customHeight="false" outlineLevel="0" collapsed="false">
      <c r="A4" s="3" t="s">
        <v>39</v>
      </c>
      <c r="B4" s="3" t="s">
        <v>40</v>
      </c>
      <c r="C4" s="3" t="s">
        <v>20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</row>
    <row r="5" customFormat="false" ht="35.05" hidden="false" customHeight="false" outlineLevel="0" collapsed="false">
      <c r="A5" s="11" t="n">
        <v>1</v>
      </c>
      <c r="B5" s="4" t="s">
        <v>46</v>
      </c>
      <c r="C5" s="4" t="s">
        <v>33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</row>
    <row r="6" customFormat="false" ht="23.85" hidden="false" customHeight="false" outlineLevel="0" collapsed="false">
      <c r="A6" s="11" t="n">
        <v>2</v>
      </c>
      <c r="B6" s="4" t="s">
        <v>52</v>
      </c>
      <c r="C6" s="4" t="s">
        <v>34</v>
      </c>
      <c r="D6" s="4" t="s">
        <v>47</v>
      </c>
      <c r="E6" s="4" t="s">
        <v>53</v>
      </c>
      <c r="F6" s="4" t="s">
        <v>54</v>
      </c>
      <c r="G6" s="4" t="s">
        <v>55</v>
      </c>
      <c r="H6" s="4" t="s">
        <v>56</v>
      </c>
    </row>
    <row r="7" customFormat="false" ht="23.85" hidden="false" customHeight="false" outlineLevel="0" collapsed="false">
      <c r="A7" s="11" t="n">
        <v>3</v>
      </c>
      <c r="B7" s="4" t="s">
        <v>57</v>
      </c>
      <c r="C7" s="4" t="s">
        <v>35</v>
      </c>
      <c r="D7" s="4" t="s">
        <v>47</v>
      </c>
      <c r="E7" s="4" t="s">
        <v>58</v>
      </c>
      <c r="F7" s="4" t="s">
        <v>59</v>
      </c>
      <c r="G7" s="4" t="s">
        <v>60</v>
      </c>
      <c r="H7" s="4" t="s">
        <v>61</v>
      </c>
    </row>
    <row r="8" customFormat="false" ht="23.85" hidden="false" customHeight="false" outlineLevel="0" collapsed="false">
      <c r="A8" s="11" t="n">
        <v>4</v>
      </c>
      <c r="B8" s="4" t="s">
        <v>62</v>
      </c>
      <c r="C8" s="4" t="s">
        <v>36</v>
      </c>
      <c r="D8" s="4" t="s">
        <v>47</v>
      </c>
      <c r="E8" s="4" t="s">
        <v>63</v>
      </c>
      <c r="F8" s="4" t="s">
        <v>54</v>
      </c>
      <c r="G8" s="4" t="s">
        <v>64</v>
      </c>
      <c r="H8" s="4" t="s">
        <v>65</v>
      </c>
    </row>
    <row r="9" customFormat="false" ht="23.85" hidden="false" customHeight="false" outlineLevel="0" collapsed="false">
      <c r="A9" s="11" t="n">
        <v>5</v>
      </c>
      <c r="B9" s="4" t="s">
        <v>66</v>
      </c>
      <c r="C9" s="4" t="s">
        <v>37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8" min="3" style="0" width="16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3" t="s">
        <v>74</v>
      </c>
      <c r="B4" s="3" t="s">
        <v>20</v>
      </c>
      <c r="C4" s="3" t="s">
        <v>26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75</v>
      </c>
    </row>
    <row r="5" customFormat="false" ht="15" hidden="false" customHeight="false" outlineLevel="0" collapsed="false">
      <c r="A5" s="4" t="s">
        <v>46</v>
      </c>
      <c r="B5" s="4" t="s">
        <v>33</v>
      </c>
      <c r="C5" s="12" t="s">
        <v>76</v>
      </c>
      <c r="D5" s="12" t="s">
        <v>76</v>
      </c>
      <c r="E5" s="12" t="s">
        <v>76</v>
      </c>
      <c r="F5" s="12" t="s">
        <v>76</v>
      </c>
      <c r="G5" s="12" t="s">
        <v>76</v>
      </c>
      <c r="H5" s="12" t="s">
        <v>76</v>
      </c>
      <c r="I5" s="13" t="n">
        <f aca="false">COUNTIF(C5:H5,"X")</f>
        <v>6</v>
      </c>
    </row>
    <row r="6" customFormat="false" ht="15" hidden="false" customHeight="false" outlineLevel="0" collapsed="false">
      <c r="A6" s="4" t="s">
        <v>52</v>
      </c>
      <c r="B6" s="4" t="s">
        <v>34</v>
      </c>
      <c r="C6" s="12" t="s">
        <v>76</v>
      </c>
      <c r="D6" s="12" t="s">
        <v>76</v>
      </c>
      <c r="E6" s="12" t="s">
        <v>76</v>
      </c>
      <c r="F6" s="12" t="s">
        <v>76</v>
      </c>
      <c r="G6" s="12" t="s">
        <v>76</v>
      </c>
      <c r="H6" s="13"/>
      <c r="I6" s="13" t="n">
        <f aca="false">COUNTIF(C6:H6,"X")</f>
        <v>5</v>
      </c>
    </row>
    <row r="7" customFormat="false" ht="15" hidden="false" customHeight="false" outlineLevel="0" collapsed="false">
      <c r="A7" s="4" t="s">
        <v>57</v>
      </c>
      <c r="B7" s="4" t="s">
        <v>35</v>
      </c>
      <c r="C7" s="12" t="s">
        <v>76</v>
      </c>
      <c r="D7" s="12" t="s">
        <v>76</v>
      </c>
      <c r="E7" s="12" t="s">
        <v>76</v>
      </c>
      <c r="F7" s="12" t="s">
        <v>76</v>
      </c>
      <c r="G7" s="13"/>
      <c r="H7" s="13"/>
      <c r="I7" s="13" t="n">
        <f aca="false">COUNTIF(C7:H7,"X")</f>
        <v>4</v>
      </c>
    </row>
    <row r="8" customFormat="false" ht="15" hidden="false" customHeight="false" outlineLevel="0" collapsed="false">
      <c r="A8" s="4" t="s">
        <v>62</v>
      </c>
      <c r="B8" s="4" t="s">
        <v>36</v>
      </c>
      <c r="C8" s="12" t="s">
        <v>76</v>
      </c>
      <c r="D8" s="12" t="s">
        <v>76</v>
      </c>
      <c r="E8" s="12" t="s">
        <v>76</v>
      </c>
      <c r="F8" s="12" t="s">
        <v>76</v>
      </c>
      <c r="G8" s="12" t="s">
        <v>76</v>
      </c>
      <c r="H8" s="13"/>
      <c r="I8" s="13" t="n">
        <f aca="false">COUNTIF(C8:H8,"X")</f>
        <v>5</v>
      </c>
    </row>
    <row r="9" customFormat="false" ht="15" hidden="false" customHeight="false" outlineLevel="0" collapsed="false">
      <c r="A9" s="4" t="s">
        <v>66</v>
      </c>
      <c r="B9" s="4" t="s">
        <v>37</v>
      </c>
      <c r="C9" s="12" t="s">
        <v>76</v>
      </c>
      <c r="D9" s="12" t="s">
        <v>76</v>
      </c>
      <c r="E9" s="13"/>
      <c r="F9" s="12" t="s">
        <v>76</v>
      </c>
      <c r="G9" s="13"/>
      <c r="H9" s="13"/>
      <c r="I9" s="13" t="n">
        <f aca="false">COUNTIF(C9:H9,"X")</f>
        <v>3</v>
      </c>
    </row>
    <row r="10" customFormat="false" ht="23.85" hidden="false" customHeight="false" outlineLevel="0" collapsed="false">
      <c r="A10" s="14" t="s">
        <v>77</v>
      </c>
      <c r="B10" s="14"/>
      <c r="C10" s="15" t="n">
        <f aca="false">COUNTIF(C5:C9,"X")</f>
        <v>5</v>
      </c>
      <c r="D10" s="15" t="n">
        <f aca="false">COUNTIF(D5:D9,"X")</f>
        <v>5</v>
      </c>
      <c r="E10" s="15" t="n">
        <f aca="false">COUNTIF(E5:E9,"X")</f>
        <v>4</v>
      </c>
      <c r="F10" s="15" t="n">
        <f aca="false">COUNTIF(F5:F9,"X")</f>
        <v>5</v>
      </c>
      <c r="G10" s="15" t="n">
        <f aca="false">COUNTIF(G5:G9,"X")</f>
        <v>3</v>
      </c>
      <c r="H10" s="15" t="n">
        <f aca="false">COUNTIF(H5:H9,"X")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23.85" hidden="false" customHeight="false" outlineLevel="0" collapsed="false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</row>
    <row r="5" customFormat="false" ht="15" hidden="false" customHeight="false" outlineLevel="0" collapsed="false">
      <c r="A5" s="16" t="s">
        <v>26</v>
      </c>
      <c r="B5" s="17" t="s">
        <v>87</v>
      </c>
      <c r="C5" s="17" t="s">
        <v>88</v>
      </c>
      <c r="D5" s="17" t="s">
        <v>89</v>
      </c>
      <c r="E5" s="18" t="n">
        <v>27394</v>
      </c>
      <c r="F5" s="19" t="n">
        <f aca="false">COUNTA(DimDate!A7:A13)</f>
        <v>7</v>
      </c>
      <c r="G5" s="17" t="s">
        <v>90</v>
      </c>
    </row>
    <row r="6" customFormat="false" ht="15" hidden="false" customHeight="false" outlineLevel="0" collapsed="false">
      <c r="A6" s="16" t="s">
        <v>28</v>
      </c>
      <c r="B6" s="17" t="s">
        <v>87</v>
      </c>
      <c r="C6" s="17" t="s">
        <v>88</v>
      </c>
      <c r="D6" s="17" t="s">
        <v>91</v>
      </c>
      <c r="E6" s="18" t="n">
        <v>1125</v>
      </c>
      <c r="F6" s="19" t="n">
        <f aca="false">COUNTA(DimRace!A7:A11)</f>
        <v>5</v>
      </c>
      <c r="G6" s="17" t="s">
        <v>92</v>
      </c>
    </row>
    <row r="7" customFormat="false" ht="15" hidden="false" customHeight="false" outlineLevel="0" collapsed="false">
      <c r="A7" s="16" t="s">
        <v>29</v>
      </c>
      <c r="B7" s="17" t="s">
        <v>87</v>
      </c>
      <c r="C7" s="17" t="s">
        <v>88</v>
      </c>
      <c r="D7" s="17" t="s">
        <v>93</v>
      </c>
      <c r="E7" s="18" t="n">
        <v>77</v>
      </c>
      <c r="F7" s="19" t="n">
        <f aca="false">COUNTA(DimCircuit!A7:A11)</f>
        <v>5</v>
      </c>
      <c r="G7" s="17" t="s">
        <v>94</v>
      </c>
    </row>
    <row r="8" customFormat="false" ht="15" hidden="false" customHeight="false" outlineLevel="0" collapsed="false">
      <c r="A8" s="16" t="s">
        <v>30</v>
      </c>
      <c r="B8" s="17" t="s">
        <v>87</v>
      </c>
      <c r="C8" s="17" t="s">
        <v>88</v>
      </c>
      <c r="D8" s="17" t="s">
        <v>95</v>
      </c>
      <c r="E8" s="18" t="n">
        <v>861</v>
      </c>
      <c r="F8" s="19" t="n">
        <f aca="false">COUNTA(DimDriver!A7:A12)</f>
        <v>6</v>
      </c>
      <c r="G8" s="17" t="s">
        <v>96</v>
      </c>
    </row>
    <row r="9" customFormat="false" ht="15" hidden="false" customHeight="false" outlineLevel="0" collapsed="false">
      <c r="A9" s="16" t="s">
        <v>31</v>
      </c>
      <c r="B9" s="17" t="s">
        <v>87</v>
      </c>
      <c r="C9" s="17" t="s">
        <v>88</v>
      </c>
      <c r="D9" s="17" t="s">
        <v>97</v>
      </c>
      <c r="E9" s="18" t="n">
        <v>212</v>
      </c>
      <c r="F9" s="19" t="n">
        <f aca="false">COUNTA(DimConstructor!A7:A10)</f>
        <v>4</v>
      </c>
      <c r="G9" s="17" t="s">
        <v>98</v>
      </c>
    </row>
    <row r="10" customFormat="false" ht="15" hidden="false" customHeight="false" outlineLevel="0" collapsed="false">
      <c r="A10" s="16" t="s">
        <v>32</v>
      </c>
      <c r="B10" s="17" t="s">
        <v>87</v>
      </c>
      <c r="C10" s="17" t="s">
        <v>88</v>
      </c>
      <c r="D10" s="17" t="s">
        <v>99</v>
      </c>
      <c r="E10" s="18" t="n">
        <v>139</v>
      </c>
      <c r="F10" s="19" t="n">
        <f aca="false">COUNTA(DimStatus!A7:A10)</f>
        <v>4</v>
      </c>
      <c r="G10" s="17" t="s">
        <v>100</v>
      </c>
    </row>
    <row r="11" customFormat="false" ht="15" hidden="false" customHeight="false" outlineLevel="0" collapsed="false">
      <c r="A11" s="20" t="s">
        <v>33</v>
      </c>
      <c r="B11" s="21" t="s">
        <v>101</v>
      </c>
      <c r="C11" s="21" t="s">
        <v>47</v>
      </c>
      <c r="D11" s="21" t="s">
        <v>48</v>
      </c>
      <c r="E11" s="22" t="n">
        <v>26759</v>
      </c>
      <c r="F11" s="23" t="n">
        <f aca="false">COUNTA(FactRaceResult!A7:A22)</f>
        <v>16</v>
      </c>
      <c r="G11" s="21" t="s">
        <v>102</v>
      </c>
    </row>
    <row r="12" customFormat="false" ht="15" hidden="false" customHeight="false" outlineLevel="0" collapsed="false">
      <c r="A12" s="20" t="s">
        <v>34</v>
      </c>
      <c r="B12" s="21" t="s">
        <v>101</v>
      </c>
      <c r="C12" s="21" t="s">
        <v>47</v>
      </c>
      <c r="D12" s="21" t="s">
        <v>53</v>
      </c>
      <c r="E12" s="22" t="n">
        <v>10494</v>
      </c>
      <c r="F12" s="23" t="n">
        <f aca="false">COUNTA(FactQualifying!A7:A17)</f>
        <v>11</v>
      </c>
      <c r="G12" s="21" t="s">
        <v>103</v>
      </c>
    </row>
    <row r="13" customFormat="false" ht="23.85" hidden="false" customHeight="false" outlineLevel="0" collapsed="false">
      <c r="A13" s="20" t="s">
        <v>35</v>
      </c>
      <c r="B13" s="21" t="s">
        <v>101</v>
      </c>
      <c r="C13" s="21" t="s">
        <v>47</v>
      </c>
      <c r="D13" s="21" t="s">
        <v>58</v>
      </c>
      <c r="E13" s="22" t="n">
        <v>589081</v>
      </c>
      <c r="F13" s="23" t="n">
        <f aca="false">COUNTA(FactLapTime!A7:A13)</f>
        <v>7</v>
      </c>
      <c r="G13" s="21" t="s">
        <v>104</v>
      </c>
    </row>
    <row r="14" customFormat="false" ht="15" hidden="false" customHeight="false" outlineLevel="0" collapsed="false">
      <c r="A14" s="20" t="s">
        <v>36</v>
      </c>
      <c r="B14" s="21" t="s">
        <v>101</v>
      </c>
      <c r="C14" s="21" t="s">
        <v>47</v>
      </c>
      <c r="D14" s="21" t="s">
        <v>63</v>
      </c>
      <c r="E14" s="22" t="n">
        <v>11371</v>
      </c>
      <c r="F14" s="23" t="n">
        <f aca="false">COUNTA(FactPitStop!A7:A14)</f>
        <v>8</v>
      </c>
      <c r="G14" s="21" t="s">
        <v>105</v>
      </c>
    </row>
    <row r="15" customFormat="false" ht="15" hidden="false" customHeight="false" outlineLevel="0" collapsed="false">
      <c r="A15" s="20" t="s">
        <v>37</v>
      </c>
      <c r="B15" s="21" t="s">
        <v>101</v>
      </c>
      <c r="C15" s="21" t="s">
        <v>67</v>
      </c>
      <c r="D15" s="21" t="s">
        <v>68</v>
      </c>
      <c r="E15" s="22" t="n">
        <v>34863</v>
      </c>
      <c r="F15" s="23" t="n">
        <f aca="false">COUNTA(FactDriverStanding!A7:A12)</f>
        <v>6</v>
      </c>
      <c r="G15" s="21" t="s">
        <v>106</v>
      </c>
    </row>
    <row r="16" customFormat="false" ht="15" hidden="false" customHeight="false" outlineLevel="0" collapsed="false">
      <c r="A16" s="14" t="s">
        <v>107</v>
      </c>
      <c r="B16" s="14"/>
      <c r="C16" s="14"/>
      <c r="D16" s="14"/>
      <c r="E16" s="24" t="n">
        <f aca="false">SUM(E5:E15)</f>
        <v>702376</v>
      </c>
      <c r="F16" s="15" t="n">
        <f aca="false">SUM(F5:F15)</f>
        <v>79</v>
      </c>
      <c r="G16" s="14"/>
    </row>
  </sheetData>
  <hyperlinks>
    <hyperlink ref="A5" r:id="rId1" location="'DimDate'!A1" display="DimDate"/>
    <hyperlink ref="A6" r:id="rId2" location="'DimRace'!A1" display="DimRace"/>
    <hyperlink ref="A7" r:id="rId3" location="'DimCircuit'!A1" display="DimCircuit"/>
    <hyperlink ref="A8" r:id="rId4" location="'DimDriver'!A1" display="DimDriver"/>
    <hyperlink ref="A9" r:id="rId5" location="'DimConstructor'!A1" display="DimConstructor"/>
    <hyperlink ref="A10" r:id="rId6" location="'DimStatus'!A1" display="DimStatus"/>
    <hyperlink ref="A11" r:id="rId7" location="'FactRaceResult'!A1" display="FactRaceResult"/>
    <hyperlink ref="A12" r:id="rId8" location="'FactQualifying'!A1" display="FactQualifying"/>
    <hyperlink ref="A13" r:id="rId9" location="'FactLapTime'!A1" display="FactLapTime"/>
    <hyperlink ref="A14" r:id="rId10" location="'FactPitStop'!A1" display="FactPitStop"/>
    <hyperlink ref="A15" r:id="rId11" location="'FactDriverStanding'!A1" display="FactDriverStand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90</v>
      </c>
    </row>
    <row r="3" customFormat="false" ht="15" hidden="false" customHeight="false" outlineLevel="0" collapsed="false">
      <c r="A3" s="25" t="s">
        <v>108</v>
      </c>
      <c r="B3" s="10" t="s">
        <v>89</v>
      </c>
    </row>
    <row r="4" customFormat="false" ht="15" hidden="false" customHeight="false" outlineLevel="0" collapsed="false">
      <c r="A4" s="25" t="s">
        <v>109</v>
      </c>
      <c r="B4" s="10" t="s">
        <v>87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117</v>
      </c>
      <c r="B7" s="26" t="s">
        <v>118</v>
      </c>
      <c r="C7" s="26" t="s">
        <v>119</v>
      </c>
      <c r="D7" s="26"/>
      <c r="E7" s="26" t="s">
        <v>120</v>
      </c>
      <c r="F7" s="26" t="s">
        <v>121</v>
      </c>
      <c r="G7" s="26" t="s">
        <v>122</v>
      </c>
      <c r="H7" s="27" t="s">
        <v>123</v>
      </c>
    </row>
    <row r="8" customFormat="false" ht="15" hidden="false" customHeight="false" outlineLevel="0" collapsed="false">
      <c r="A8" s="4" t="s">
        <v>124</v>
      </c>
      <c r="B8" s="4" t="s">
        <v>125</v>
      </c>
      <c r="C8" s="4" t="s">
        <v>126</v>
      </c>
      <c r="D8" s="4"/>
      <c r="E8" s="4" t="s">
        <v>127</v>
      </c>
      <c r="F8" s="4" t="s">
        <v>121</v>
      </c>
      <c r="G8" s="4" t="s">
        <v>128</v>
      </c>
      <c r="H8" s="28" t="s">
        <v>129</v>
      </c>
    </row>
    <row r="9" customFormat="false" ht="15" hidden="false" customHeight="false" outlineLevel="0" collapsed="false">
      <c r="A9" s="4" t="s">
        <v>130</v>
      </c>
      <c r="B9" s="4" t="s">
        <v>131</v>
      </c>
      <c r="C9" s="4" t="s">
        <v>126</v>
      </c>
      <c r="D9" s="4"/>
      <c r="E9" s="4" t="s">
        <v>132</v>
      </c>
      <c r="F9" s="4" t="s">
        <v>121</v>
      </c>
      <c r="G9" s="4" t="s">
        <v>133</v>
      </c>
      <c r="H9" s="28" t="s">
        <v>134</v>
      </c>
    </row>
    <row r="10" customFormat="false" ht="15" hidden="false" customHeight="false" outlineLevel="0" collapsed="false">
      <c r="A10" s="4" t="s">
        <v>135</v>
      </c>
      <c r="B10" s="4" t="s">
        <v>131</v>
      </c>
      <c r="C10" s="4" t="s">
        <v>126</v>
      </c>
      <c r="D10" s="4"/>
      <c r="E10" s="4" t="s">
        <v>136</v>
      </c>
      <c r="F10" s="4" t="s">
        <v>121</v>
      </c>
      <c r="G10" s="4" t="s">
        <v>137</v>
      </c>
      <c r="H10" s="28" t="s">
        <v>138</v>
      </c>
    </row>
    <row r="11" customFormat="false" ht="15" hidden="false" customHeight="false" outlineLevel="0" collapsed="false">
      <c r="A11" s="4" t="s">
        <v>139</v>
      </c>
      <c r="B11" s="4" t="s">
        <v>131</v>
      </c>
      <c r="C11" s="4" t="s">
        <v>126</v>
      </c>
      <c r="D11" s="4"/>
      <c r="E11" s="4" t="s">
        <v>140</v>
      </c>
      <c r="F11" s="4" t="s">
        <v>121</v>
      </c>
      <c r="G11" s="4" t="s">
        <v>141</v>
      </c>
      <c r="H11" s="28" t="s">
        <v>142</v>
      </c>
    </row>
    <row r="12" customFormat="false" ht="15" hidden="false" customHeight="false" outlineLevel="0" collapsed="false">
      <c r="A12" s="4" t="s">
        <v>143</v>
      </c>
      <c r="B12" s="4" t="s">
        <v>144</v>
      </c>
      <c r="C12" s="4" t="s">
        <v>126</v>
      </c>
      <c r="D12" s="4"/>
      <c r="E12" s="4" t="s">
        <v>145</v>
      </c>
      <c r="F12" s="4" t="s">
        <v>121</v>
      </c>
      <c r="G12" s="4" t="s">
        <v>146</v>
      </c>
      <c r="H12" s="28" t="s">
        <v>147</v>
      </c>
    </row>
    <row r="13" customFormat="false" ht="15" hidden="false" customHeight="false" outlineLevel="0" collapsed="false">
      <c r="A13" s="4" t="s">
        <v>148</v>
      </c>
      <c r="B13" s="4" t="s">
        <v>149</v>
      </c>
      <c r="C13" s="4" t="s">
        <v>126</v>
      </c>
      <c r="D13" s="4"/>
      <c r="E13" s="4" t="s">
        <v>150</v>
      </c>
      <c r="F13" s="4" t="s">
        <v>121</v>
      </c>
      <c r="G13" s="4" t="s">
        <v>151</v>
      </c>
      <c r="H13" s="28" t="s">
        <v>152</v>
      </c>
    </row>
    <row r="15" customFormat="false" ht="15" hidden="false" customHeight="false" outlineLevel="0" collapsed="false">
      <c r="A15" s="9" t="s">
        <v>153</v>
      </c>
    </row>
  </sheetData>
  <hyperlinks>
    <hyperlink ref="A15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25" t="s">
        <v>108</v>
      </c>
      <c r="B3" s="10" t="s">
        <v>91</v>
      </c>
    </row>
    <row r="4" customFormat="false" ht="15" hidden="false" customHeight="false" outlineLevel="0" collapsed="false">
      <c r="A4" s="25" t="s">
        <v>109</v>
      </c>
      <c r="B4" s="10" t="s">
        <v>87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154</v>
      </c>
      <c r="B7" s="26" t="s">
        <v>155</v>
      </c>
      <c r="C7" s="26" t="s">
        <v>156</v>
      </c>
      <c r="D7" s="26"/>
      <c r="E7" s="26" t="s">
        <v>157</v>
      </c>
      <c r="F7" s="26" t="s">
        <v>158</v>
      </c>
      <c r="G7" s="26" t="s">
        <v>159</v>
      </c>
      <c r="H7" s="27" t="s">
        <v>142</v>
      </c>
    </row>
    <row r="8" customFormat="false" ht="15" hidden="false" customHeight="false" outlineLevel="0" collapsed="false">
      <c r="A8" s="4" t="s">
        <v>160</v>
      </c>
      <c r="B8" s="4" t="s">
        <v>118</v>
      </c>
      <c r="C8" s="4" t="s">
        <v>161</v>
      </c>
      <c r="D8" s="4"/>
      <c r="E8" s="4" t="s">
        <v>162</v>
      </c>
      <c r="F8" s="4" t="s">
        <v>163</v>
      </c>
      <c r="G8" s="4" t="s">
        <v>164</v>
      </c>
      <c r="H8" s="28" t="s">
        <v>165</v>
      </c>
    </row>
    <row r="9" customFormat="false" ht="15" hidden="false" customHeight="false" outlineLevel="0" collapsed="false">
      <c r="A9" s="4" t="s">
        <v>166</v>
      </c>
      <c r="B9" s="4" t="s">
        <v>167</v>
      </c>
      <c r="C9" s="4" t="s">
        <v>126</v>
      </c>
      <c r="D9" s="4"/>
      <c r="E9" s="4" t="s">
        <v>168</v>
      </c>
      <c r="F9" s="4" t="s">
        <v>169</v>
      </c>
      <c r="G9" s="4" t="s">
        <v>164</v>
      </c>
      <c r="H9" s="28" t="s">
        <v>170</v>
      </c>
    </row>
    <row r="10" customFormat="false" ht="15" hidden="false" customHeight="false" outlineLevel="0" collapsed="false">
      <c r="A10" s="4" t="s">
        <v>171</v>
      </c>
      <c r="B10" s="4" t="s">
        <v>144</v>
      </c>
      <c r="C10" s="4" t="s">
        <v>126</v>
      </c>
      <c r="D10" s="4"/>
      <c r="E10" s="4" t="s">
        <v>172</v>
      </c>
      <c r="F10" s="4" t="s">
        <v>173</v>
      </c>
      <c r="G10" s="4" t="s">
        <v>164</v>
      </c>
      <c r="H10" s="28" t="s">
        <v>147</v>
      </c>
    </row>
    <row r="11" customFormat="false" ht="15" hidden="false" customHeight="false" outlineLevel="0" collapsed="false">
      <c r="A11" s="4" t="s">
        <v>174</v>
      </c>
      <c r="B11" s="4" t="s">
        <v>131</v>
      </c>
      <c r="C11" s="4" t="s">
        <v>126</v>
      </c>
      <c r="D11" s="4"/>
      <c r="E11" s="4" t="s">
        <v>175</v>
      </c>
      <c r="F11" s="4" t="s">
        <v>176</v>
      </c>
      <c r="G11" s="4" t="s">
        <v>164</v>
      </c>
      <c r="H11" s="28" t="s">
        <v>142</v>
      </c>
    </row>
    <row r="13" customFormat="false" ht="15" hidden="false" customHeight="false" outlineLevel="0" collapsed="false">
      <c r="A13" s="9" t="s">
        <v>153</v>
      </c>
    </row>
  </sheetData>
  <hyperlinks>
    <hyperlink ref="A13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94</v>
      </c>
    </row>
    <row r="3" customFormat="false" ht="15" hidden="false" customHeight="false" outlineLevel="0" collapsed="false">
      <c r="A3" s="25" t="s">
        <v>108</v>
      </c>
      <c r="B3" s="10" t="s">
        <v>93</v>
      </c>
    </row>
    <row r="4" customFormat="false" ht="15" hidden="false" customHeight="false" outlineLevel="0" collapsed="false">
      <c r="A4" s="25" t="s">
        <v>109</v>
      </c>
      <c r="B4" s="10" t="s">
        <v>87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177</v>
      </c>
      <c r="B7" s="26" t="s">
        <v>155</v>
      </c>
      <c r="C7" s="26" t="s">
        <v>156</v>
      </c>
      <c r="D7" s="26"/>
      <c r="E7" s="26" t="s">
        <v>157</v>
      </c>
      <c r="F7" s="26" t="s">
        <v>158</v>
      </c>
      <c r="G7" s="26" t="s">
        <v>159</v>
      </c>
      <c r="H7" s="27" t="s">
        <v>142</v>
      </c>
    </row>
    <row r="8" customFormat="false" ht="15" hidden="false" customHeight="false" outlineLevel="0" collapsed="false">
      <c r="A8" s="4" t="s">
        <v>178</v>
      </c>
      <c r="B8" s="4" t="s">
        <v>118</v>
      </c>
      <c r="C8" s="4" t="s">
        <v>161</v>
      </c>
      <c r="D8" s="4"/>
      <c r="E8" s="4" t="s">
        <v>179</v>
      </c>
      <c r="F8" s="4" t="s">
        <v>180</v>
      </c>
      <c r="G8" s="4" t="s">
        <v>164</v>
      </c>
      <c r="H8" s="28" t="s">
        <v>138</v>
      </c>
    </row>
    <row r="9" customFormat="false" ht="23.85" hidden="false" customHeight="false" outlineLevel="0" collapsed="false">
      <c r="A9" s="4" t="s">
        <v>181</v>
      </c>
      <c r="B9" s="4" t="s">
        <v>167</v>
      </c>
      <c r="C9" s="4" t="s">
        <v>126</v>
      </c>
      <c r="D9" s="4"/>
      <c r="E9" s="4" t="s">
        <v>182</v>
      </c>
      <c r="F9" s="4" t="s">
        <v>183</v>
      </c>
      <c r="G9" s="4" t="s">
        <v>164</v>
      </c>
      <c r="H9" s="28" t="s">
        <v>184</v>
      </c>
    </row>
    <row r="10" customFormat="false" ht="15" hidden="false" customHeight="false" outlineLevel="0" collapsed="false">
      <c r="A10" s="4" t="s">
        <v>185</v>
      </c>
      <c r="B10" s="4" t="s">
        <v>167</v>
      </c>
      <c r="C10" s="4" t="s">
        <v>126</v>
      </c>
      <c r="D10" s="4"/>
      <c r="E10" s="4" t="s">
        <v>186</v>
      </c>
      <c r="F10" s="4" t="s">
        <v>187</v>
      </c>
      <c r="G10" s="4" t="s">
        <v>164</v>
      </c>
      <c r="H10" s="28" t="s">
        <v>188</v>
      </c>
    </row>
    <row r="11" customFormat="false" ht="15" hidden="false" customHeight="false" outlineLevel="0" collapsed="false">
      <c r="A11" s="4" t="s">
        <v>189</v>
      </c>
      <c r="B11" s="4" t="s">
        <v>190</v>
      </c>
      <c r="C11" s="4" t="s">
        <v>126</v>
      </c>
      <c r="D11" s="4"/>
      <c r="E11" s="4" t="s">
        <v>191</v>
      </c>
      <c r="F11" s="4" t="s">
        <v>192</v>
      </c>
      <c r="G11" s="4" t="s">
        <v>193</v>
      </c>
      <c r="H11" s="28" t="s">
        <v>194</v>
      </c>
    </row>
    <row r="13" customFormat="false" ht="15" hidden="false" customHeight="false" outlineLevel="0" collapsed="false">
      <c r="A13" s="9" t="s">
        <v>153</v>
      </c>
    </row>
  </sheetData>
  <hyperlinks>
    <hyperlink ref="A13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96</v>
      </c>
    </row>
    <row r="3" customFormat="false" ht="15" hidden="false" customHeight="false" outlineLevel="0" collapsed="false">
      <c r="A3" s="25" t="s">
        <v>108</v>
      </c>
      <c r="B3" s="10" t="s">
        <v>95</v>
      </c>
    </row>
    <row r="4" customFormat="false" ht="15" hidden="false" customHeight="false" outlineLevel="0" collapsed="false">
      <c r="A4" s="25" t="s">
        <v>109</v>
      </c>
      <c r="B4" s="10" t="s">
        <v>87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195</v>
      </c>
      <c r="B7" s="26" t="s">
        <v>155</v>
      </c>
      <c r="C7" s="26" t="s">
        <v>156</v>
      </c>
      <c r="D7" s="26"/>
      <c r="E7" s="26" t="s">
        <v>157</v>
      </c>
      <c r="F7" s="26" t="s">
        <v>158</v>
      </c>
      <c r="G7" s="26" t="s">
        <v>159</v>
      </c>
      <c r="H7" s="27" t="s">
        <v>142</v>
      </c>
    </row>
    <row r="8" customFormat="false" ht="15" hidden="false" customHeight="false" outlineLevel="0" collapsed="false">
      <c r="A8" s="4" t="s">
        <v>196</v>
      </c>
      <c r="B8" s="4" t="s">
        <v>118</v>
      </c>
      <c r="C8" s="4" t="s">
        <v>161</v>
      </c>
      <c r="D8" s="4"/>
      <c r="E8" s="4" t="s">
        <v>197</v>
      </c>
      <c r="F8" s="4" t="s">
        <v>198</v>
      </c>
      <c r="G8" s="4" t="s">
        <v>164</v>
      </c>
      <c r="H8" s="28" t="s">
        <v>142</v>
      </c>
    </row>
    <row r="9" customFormat="false" ht="15" hidden="false" customHeight="false" outlineLevel="0" collapsed="false">
      <c r="A9" s="4" t="s">
        <v>199</v>
      </c>
      <c r="B9" s="4" t="s">
        <v>200</v>
      </c>
      <c r="C9" s="4" t="s">
        <v>126</v>
      </c>
      <c r="D9" s="4"/>
      <c r="E9" s="4" t="s">
        <v>201</v>
      </c>
      <c r="F9" s="4" t="s">
        <v>202</v>
      </c>
      <c r="G9" s="4" t="s">
        <v>203</v>
      </c>
      <c r="H9" s="28" t="s">
        <v>204</v>
      </c>
    </row>
    <row r="10" customFormat="false" ht="15" hidden="false" customHeight="false" outlineLevel="0" collapsed="false">
      <c r="A10" s="4" t="s">
        <v>205</v>
      </c>
      <c r="B10" s="4" t="s">
        <v>206</v>
      </c>
      <c r="C10" s="4" t="s">
        <v>126</v>
      </c>
      <c r="D10" s="4"/>
      <c r="E10" s="4" t="s">
        <v>207</v>
      </c>
      <c r="F10" s="4" t="s">
        <v>208</v>
      </c>
      <c r="G10" s="4" t="s">
        <v>209</v>
      </c>
      <c r="H10" s="28" t="s">
        <v>210</v>
      </c>
    </row>
    <row r="11" customFormat="false" ht="15" hidden="false" customHeight="false" outlineLevel="0" collapsed="false">
      <c r="A11" s="4" t="s">
        <v>211</v>
      </c>
      <c r="B11" s="4" t="s">
        <v>125</v>
      </c>
      <c r="C11" s="4" t="s">
        <v>126</v>
      </c>
      <c r="D11" s="4"/>
      <c r="E11" s="4" t="s">
        <v>212</v>
      </c>
      <c r="F11" s="4" t="s">
        <v>213</v>
      </c>
      <c r="G11" s="4" t="s">
        <v>164</v>
      </c>
      <c r="H11" s="28" t="s">
        <v>214</v>
      </c>
    </row>
    <row r="12" customFormat="false" ht="15" hidden="false" customHeight="false" outlineLevel="0" collapsed="false">
      <c r="A12" s="4" t="s">
        <v>215</v>
      </c>
      <c r="B12" s="4" t="s">
        <v>190</v>
      </c>
      <c r="C12" s="4" t="s">
        <v>126</v>
      </c>
      <c r="D12" s="4"/>
      <c r="E12" s="4" t="s">
        <v>216</v>
      </c>
      <c r="F12" s="4" t="s">
        <v>217</v>
      </c>
      <c r="G12" s="4" t="s">
        <v>218</v>
      </c>
      <c r="H12" s="28" t="s">
        <v>219</v>
      </c>
    </row>
    <row r="14" customFormat="false" ht="15" hidden="false" customHeight="false" outlineLevel="0" collapsed="false">
      <c r="A14" s="9" t="s">
        <v>153</v>
      </c>
    </row>
  </sheetData>
  <hyperlinks>
    <hyperlink ref="A14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98</v>
      </c>
    </row>
    <row r="3" customFormat="false" ht="15" hidden="false" customHeight="false" outlineLevel="0" collapsed="false">
      <c r="A3" s="25" t="s">
        <v>108</v>
      </c>
      <c r="B3" s="10" t="s">
        <v>97</v>
      </c>
    </row>
    <row r="4" customFormat="false" ht="15" hidden="false" customHeight="false" outlineLevel="0" collapsed="false">
      <c r="A4" s="25" t="s">
        <v>109</v>
      </c>
      <c r="B4" s="10" t="s">
        <v>87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220</v>
      </c>
      <c r="B7" s="26" t="s">
        <v>155</v>
      </c>
      <c r="C7" s="26" t="s">
        <v>156</v>
      </c>
      <c r="D7" s="26"/>
      <c r="E7" s="26" t="s">
        <v>157</v>
      </c>
      <c r="F7" s="26" t="s">
        <v>158</v>
      </c>
      <c r="G7" s="26" t="s">
        <v>159</v>
      </c>
      <c r="H7" s="27" t="s">
        <v>142</v>
      </c>
    </row>
    <row r="8" customFormat="false" ht="15" hidden="false" customHeight="false" outlineLevel="0" collapsed="false">
      <c r="A8" s="4" t="s">
        <v>221</v>
      </c>
      <c r="B8" s="4" t="s">
        <v>118</v>
      </c>
      <c r="C8" s="4" t="s">
        <v>161</v>
      </c>
      <c r="D8" s="4"/>
      <c r="E8" s="4" t="s">
        <v>222</v>
      </c>
      <c r="F8" s="4" t="s">
        <v>223</v>
      </c>
      <c r="G8" s="4" t="s">
        <v>164</v>
      </c>
      <c r="H8" s="28" t="s">
        <v>224</v>
      </c>
    </row>
    <row r="9" customFormat="false" ht="15" hidden="false" customHeight="false" outlineLevel="0" collapsed="false">
      <c r="A9" s="4" t="s">
        <v>225</v>
      </c>
      <c r="B9" s="4" t="s">
        <v>167</v>
      </c>
      <c r="C9" s="4" t="s">
        <v>126</v>
      </c>
      <c r="D9" s="4"/>
      <c r="E9" s="4" t="s">
        <v>226</v>
      </c>
      <c r="F9" s="4" t="s">
        <v>227</v>
      </c>
      <c r="G9" s="4" t="s">
        <v>164</v>
      </c>
      <c r="H9" s="28" t="s">
        <v>228</v>
      </c>
    </row>
    <row r="10" customFormat="false" ht="15" hidden="false" customHeight="false" outlineLevel="0" collapsed="false">
      <c r="A10" s="4" t="s">
        <v>215</v>
      </c>
      <c r="B10" s="4" t="s">
        <v>190</v>
      </c>
      <c r="C10" s="4" t="s">
        <v>126</v>
      </c>
      <c r="D10" s="4"/>
      <c r="E10" s="4" t="s">
        <v>229</v>
      </c>
      <c r="F10" s="4" t="s">
        <v>230</v>
      </c>
      <c r="G10" s="4" t="s">
        <v>218</v>
      </c>
      <c r="H10" s="28" t="s">
        <v>231</v>
      </c>
    </row>
    <row r="12" customFormat="false" ht="15" hidden="false" customHeight="false" outlineLevel="0" collapsed="false">
      <c r="A12" s="9" t="s">
        <v>153</v>
      </c>
    </row>
  </sheetData>
  <hyperlinks>
    <hyperlink ref="A12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100</v>
      </c>
    </row>
    <row r="3" customFormat="false" ht="15" hidden="false" customHeight="false" outlineLevel="0" collapsed="false">
      <c r="A3" s="25" t="s">
        <v>108</v>
      </c>
      <c r="B3" s="10" t="s">
        <v>99</v>
      </c>
    </row>
    <row r="4" customFormat="false" ht="15" hidden="false" customHeight="false" outlineLevel="0" collapsed="false">
      <c r="A4" s="25" t="s">
        <v>109</v>
      </c>
      <c r="B4" s="10" t="s">
        <v>87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232</v>
      </c>
      <c r="B7" s="26" t="s">
        <v>155</v>
      </c>
      <c r="C7" s="26" t="s">
        <v>156</v>
      </c>
      <c r="D7" s="26"/>
      <c r="E7" s="26" t="s">
        <v>157</v>
      </c>
      <c r="F7" s="26" t="s">
        <v>158</v>
      </c>
      <c r="G7" s="26" t="s">
        <v>159</v>
      </c>
      <c r="H7" s="27" t="s">
        <v>142</v>
      </c>
    </row>
    <row r="8" customFormat="false" ht="15" hidden="false" customHeight="false" outlineLevel="0" collapsed="false">
      <c r="A8" s="4" t="s">
        <v>233</v>
      </c>
      <c r="B8" s="4" t="s">
        <v>118</v>
      </c>
      <c r="C8" s="4" t="s">
        <v>161</v>
      </c>
      <c r="D8" s="4"/>
      <c r="E8" s="4" t="s">
        <v>234</v>
      </c>
      <c r="F8" s="4" t="s">
        <v>235</v>
      </c>
      <c r="G8" s="4" t="s">
        <v>164</v>
      </c>
      <c r="H8" s="28" t="s">
        <v>236</v>
      </c>
    </row>
    <row r="9" customFormat="false" ht="15" hidden="false" customHeight="false" outlineLevel="0" collapsed="false">
      <c r="A9" s="4" t="s">
        <v>237</v>
      </c>
      <c r="B9" s="4" t="s">
        <v>190</v>
      </c>
      <c r="C9" s="4" t="s">
        <v>126</v>
      </c>
      <c r="D9" s="4"/>
      <c r="E9" s="4" t="s">
        <v>238</v>
      </c>
      <c r="F9" s="4" t="s">
        <v>239</v>
      </c>
      <c r="G9" s="4" t="s">
        <v>164</v>
      </c>
      <c r="H9" s="28" t="s">
        <v>240</v>
      </c>
    </row>
    <row r="10" customFormat="false" ht="23.85" hidden="false" customHeight="false" outlineLevel="0" collapsed="false">
      <c r="A10" s="4" t="s">
        <v>241</v>
      </c>
      <c r="B10" s="4" t="s">
        <v>242</v>
      </c>
      <c r="C10" s="4" t="s">
        <v>126</v>
      </c>
      <c r="D10" s="4"/>
      <c r="E10" s="4" t="s">
        <v>243</v>
      </c>
      <c r="F10" s="4" t="s">
        <v>239</v>
      </c>
      <c r="G10" s="4" t="s">
        <v>244</v>
      </c>
      <c r="H10" s="28" t="s">
        <v>245</v>
      </c>
    </row>
    <row r="12" customFormat="false" ht="15" hidden="false" customHeight="false" outlineLevel="0" collapsed="false">
      <c r="A12" s="9" t="s">
        <v>153</v>
      </c>
    </row>
  </sheetData>
  <hyperlinks>
    <hyperlink ref="A12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102</v>
      </c>
    </row>
    <row r="3" customFormat="false" ht="15" hidden="false" customHeight="false" outlineLevel="0" collapsed="false">
      <c r="A3" s="25" t="s">
        <v>108</v>
      </c>
      <c r="B3" s="10" t="s">
        <v>48</v>
      </c>
    </row>
    <row r="4" customFormat="false" ht="15" hidden="false" customHeight="false" outlineLevel="0" collapsed="false">
      <c r="A4" s="25" t="s">
        <v>109</v>
      </c>
      <c r="B4" s="10" t="s">
        <v>246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247</v>
      </c>
      <c r="B7" s="26" t="s">
        <v>118</v>
      </c>
      <c r="C7" s="26" t="s">
        <v>119</v>
      </c>
      <c r="D7" s="26"/>
      <c r="E7" s="26" t="s">
        <v>248</v>
      </c>
      <c r="F7" s="26" t="s">
        <v>249</v>
      </c>
      <c r="G7" s="26" t="s">
        <v>164</v>
      </c>
      <c r="H7" s="27" t="s">
        <v>250</v>
      </c>
    </row>
    <row r="8" customFormat="false" ht="15" hidden="false" customHeight="false" outlineLevel="0" collapsed="false">
      <c r="A8" s="26" t="s">
        <v>117</v>
      </c>
      <c r="B8" s="26" t="s">
        <v>118</v>
      </c>
      <c r="C8" s="26" t="s">
        <v>251</v>
      </c>
      <c r="D8" s="26"/>
      <c r="E8" s="26" t="s">
        <v>252</v>
      </c>
      <c r="F8" s="26" t="s">
        <v>253</v>
      </c>
      <c r="G8" s="26" t="s">
        <v>254</v>
      </c>
      <c r="H8" s="27"/>
    </row>
    <row r="9" customFormat="false" ht="15" hidden="false" customHeight="false" outlineLevel="0" collapsed="false">
      <c r="A9" s="26" t="s">
        <v>154</v>
      </c>
      <c r="B9" s="26" t="s">
        <v>118</v>
      </c>
      <c r="C9" s="26" t="s">
        <v>255</v>
      </c>
      <c r="D9" s="26"/>
      <c r="E9" s="26" t="s">
        <v>256</v>
      </c>
      <c r="F9" s="26" t="s">
        <v>257</v>
      </c>
      <c r="G9" s="26" t="s">
        <v>258</v>
      </c>
      <c r="H9" s="27"/>
    </row>
    <row r="10" customFormat="false" ht="15" hidden="false" customHeight="false" outlineLevel="0" collapsed="false">
      <c r="A10" s="26" t="s">
        <v>177</v>
      </c>
      <c r="B10" s="26" t="s">
        <v>118</v>
      </c>
      <c r="C10" s="26" t="s">
        <v>259</v>
      </c>
      <c r="D10" s="26"/>
      <c r="E10" s="26" t="s">
        <v>260</v>
      </c>
      <c r="F10" s="26" t="s">
        <v>261</v>
      </c>
      <c r="G10" s="26" t="s">
        <v>262</v>
      </c>
      <c r="H10" s="27"/>
    </row>
    <row r="11" customFormat="false" ht="15" hidden="false" customHeight="false" outlineLevel="0" collapsed="false">
      <c r="A11" s="26" t="s">
        <v>195</v>
      </c>
      <c r="B11" s="26" t="s">
        <v>118</v>
      </c>
      <c r="C11" s="26" t="s">
        <v>263</v>
      </c>
      <c r="D11" s="26"/>
      <c r="E11" s="26" t="s">
        <v>264</v>
      </c>
      <c r="F11" s="26" t="s">
        <v>265</v>
      </c>
      <c r="G11" s="26" t="s">
        <v>266</v>
      </c>
      <c r="H11" s="27"/>
    </row>
    <row r="12" customFormat="false" ht="15" hidden="false" customHeight="false" outlineLevel="0" collapsed="false">
      <c r="A12" s="26" t="s">
        <v>220</v>
      </c>
      <c r="B12" s="26" t="s">
        <v>118</v>
      </c>
      <c r="C12" s="26" t="s">
        <v>267</v>
      </c>
      <c r="D12" s="26"/>
      <c r="E12" s="26" t="s">
        <v>268</v>
      </c>
      <c r="F12" s="26" t="s">
        <v>269</v>
      </c>
      <c r="G12" s="26" t="s">
        <v>270</v>
      </c>
      <c r="H12" s="27"/>
    </row>
    <row r="13" customFormat="false" ht="15" hidden="false" customHeight="false" outlineLevel="0" collapsed="false">
      <c r="A13" s="26" t="s">
        <v>232</v>
      </c>
      <c r="B13" s="26" t="s">
        <v>118</v>
      </c>
      <c r="C13" s="26" t="s">
        <v>271</v>
      </c>
      <c r="D13" s="26"/>
      <c r="E13" s="26" t="s">
        <v>272</v>
      </c>
      <c r="F13" s="26" t="s">
        <v>273</v>
      </c>
      <c r="G13" s="26" t="s">
        <v>274</v>
      </c>
      <c r="H13" s="27"/>
    </row>
    <row r="14" customFormat="false" ht="15" hidden="false" customHeight="false" outlineLevel="0" collapsed="false">
      <c r="A14" s="4" t="s">
        <v>275</v>
      </c>
      <c r="B14" s="4" t="s">
        <v>118</v>
      </c>
      <c r="C14" s="4" t="s">
        <v>276</v>
      </c>
      <c r="D14" s="4" t="s">
        <v>277</v>
      </c>
      <c r="E14" s="4" t="s">
        <v>278</v>
      </c>
      <c r="F14" s="4" t="s">
        <v>279</v>
      </c>
      <c r="G14" s="4" t="s">
        <v>164</v>
      </c>
      <c r="H14" s="28" t="s">
        <v>280</v>
      </c>
    </row>
    <row r="15" customFormat="false" ht="15" hidden="false" customHeight="false" outlineLevel="0" collapsed="false">
      <c r="A15" s="4" t="s">
        <v>281</v>
      </c>
      <c r="B15" s="4" t="s">
        <v>118</v>
      </c>
      <c r="C15" s="4" t="s">
        <v>276</v>
      </c>
      <c r="D15" s="4" t="s">
        <v>277</v>
      </c>
      <c r="E15" s="4" t="s">
        <v>282</v>
      </c>
      <c r="F15" s="4" t="s">
        <v>283</v>
      </c>
      <c r="G15" s="4" t="s">
        <v>164</v>
      </c>
      <c r="H15" s="28" t="s">
        <v>284</v>
      </c>
    </row>
    <row r="16" customFormat="false" ht="15" hidden="false" customHeight="false" outlineLevel="0" collapsed="false">
      <c r="A16" s="4" t="s">
        <v>285</v>
      </c>
      <c r="B16" s="4" t="s">
        <v>286</v>
      </c>
      <c r="C16" s="4" t="s">
        <v>276</v>
      </c>
      <c r="D16" s="4" t="s">
        <v>287</v>
      </c>
      <c r="E16" s="4" t="s">
        <v>288</v>
      </c>
      <c r="F16" s="4" t="s">
        <v>289</v>
      </c>
      <c r="G16" s="4" t="s">
        <v>164</v>
      </c>
      <c r="H16" s="28" t="s">
        <v>290</v>
      </c>
    </row>
    <row r="17" customFormat="false" ht="15" hidden="false" customHeight="false" outlineLevel="0" collapsed="false">
      <c r="A17" s="4" t="s">
        <v>291</v>
      </c>
      <c r="B17" s="4" t="s">
        <v>118</v>
      </c>
      <c r="C17" s="4" t="s">
        <v>276</v>
      </c>
      <c r="D17" s="4" t="s">
        <v>287</v>
      </c>
      <c r="E17" s="4" t="s">
        <v>292</v>
      </c>
      <c r="F17" s="4" t="s">
        <v>293</v>
      </c>
      <c r="G17" s="4" t="s">
        <v>164</v>
      </c>
      <c r="H17" s="28" t="s">
        <v>294</v>
      </c>
    </row>
    <row r="18" customFormat="false" ht="15" hidden="false" customHeight="false" outlineLevel="0" collapsed="false">
      <c r="A18" s="4" t="s">
        <v>295</v>
      </c>
      <c r="B18" s="4" t="s">
        <v>296</v>
      </c>
      <c r="C18" s="4" t="s">
        <v>276</v>
      </c>
      <c r="D18" s="4" t="s">
        <v>277</v>
      </c>
      <c r="E18" s="4" t="s">
        <v>297</v>
      </c>
      <c r="F18" s="4" t="s">
        <v>298</v>
      </c>
      <c r="G18" s="4" t="s">
        <v>164</v>
      </c>
      <c r="H18" s="28" t="s">
        <v>299</v>
      </c>
    </row>
    <row r="19" customFormat="false" ht="15" hidden="false" customHeight="false" outlineLevel="0" collapsed="false">
      <c r="A19" s="4" t="s">
        <v>300</v>
      </c>
      <c r="B19" s="4" t="s">
        <v>118</v>
      </c>
      <c r="C19" s="4" t="s">
        <v>276</v>
      </c>
      <c r="D19" s="4" t="s">
        <v>277</v>
      </c>
      <c r="E19" s="4" t="s">
        <v>301</v>
      </c>
      <c r="F19" s="4" t="s">
        <v>302</v>
      </c>
      <c r="G19" s="4" t="s">
        <v>303</v>
      </c>
      <c r="H19" s="28" t="s">
        <v>304</v>
      </c>
    </row>
    <row r="20" customFormat="false" ht="15" hidden="false" customHeight="false" outlineLevel="0" collapsed="false">
      <c r="A20" s="4" t="s">
        <v>305</v>
      </c>
      <c r="B20" s="4" t="s">
        <v>131</v>
      </c>
      <c r="C20" s="4" t="s">
        <v>276</v>
      </c>
      <c r="D20" s="4" t="s">
        <v>287</v>
      </c>
      <c r="E20" s="4" t="s">
        <v>306</v>
      </c>
      <c r="F20" s="4" t="s">
        <v>283</v>
      </c>
      <c r="G20" s="4" t="s">
        <v>307</v>
      </c>
      <c r="H20" s="28" t="s">
        <v>308</v>
      </c>
    </row>
    <row r="21" customFormat="false" ht="15" hidden="false" customHeight="false" outlineLevel="0" collapsed="false">
      <c r="A21" s="4" t="s">
        <v>309</v>
      </c>
      <c r="B21" s="4" t="s">
        <v>131</v>
      </c>
      <c r="C21" s="4" t="s">
        <v>276</v>
      </c>
      <c r="D21" s="4" t="s">
        <v>287</v>
      </c>
      <c r="E21" s="4" t="s">
        <v>310</v>
      </c>
      <c r="F21" s="4" t="s">
        <v>283</v>
      </c>
      <c r="G21" s="4" t="s">
        <v>311</v>
      </c>
      <c r="H21" s="28" t="s">
        <v>308</v>
      </c>
    </row>
    <row r="22" customFormat="false" ht="15" hidden="false" customHeight="false" outlineLevel="0" collapsed="false">
      <c r="A22" s="4" t="s">
        <v>312</v>
      </c>
      <c r="B22" s="4" t="s">
        <v>131</v>
      </c>
      <c r="C22" s="4" t="s">
        <v>276</v>
      </c>
      <c r="D22" s="4" t="s">
        <v>287</v>
      </c>
      <c r="E22" s="4" t="s">
        <v>313</v>
      </c>
      <c r="F22" s="4" t="s">
        <v>314</v>
      </c>
      <c r="G22" s="4" t="s">
        <v>315</v>
      </c>
      <c r="H22" s="28" t="s">
        <v>142</v>
      </c>
    </row>
    <row r="24" customFormat="false" ht="15" hidden="false" customHeight="false" outlineLevel="0" collapsed="false">
      <c r="A24" s="9" t="s">
        <v>153</v>
      </c>
    </row>
  </sheetData>
  <hyperlinks>
    <hyperlink ref="A24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103</v>
      </c>
    </row>
    <row r="3" customFormat="false" ht="15" hidden="false" customHeight="false" outlineLevel="0" collapsed="false">
      <c r="A3" s="25" t="s">
        <v>108</v>
      </c>
      <c r="B3" s="10" t="s">
        <v>53</v>
      </c>
    </row>
    <row r="4" customFormat="false" ht="15" hidden="false" customHeight="false" outlineLevel="0" collapsed="false">
      <c r="A4" s="25" t="s">
        <v>109</v>
      </c>
      <c r="B4" s="10" t="s">
        <v>246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316</v>
      </c>
      <c r="B7" s="26" t="s">
        <v>118</v>
      </c>
      <c r="C7" s="26" t="s">
        <v>119</v>
      </c>
      <c r="D7" s="26"/>
      <c r="E7" s="26" t="s">
        <v>317</v>
      </c>
      <c r="F7" s="26" t="s">
        <v>318</v>
      </c>
      <c r="G7" s="26" t="s">
        <v>164</v>
      </c>
      <c r="H7" s="27" t="s">
        <v>319</v>
      </c>
    </row>
    <row r="8" customFormat="false" ht="15" hidden="false" customHeight="false" outlineLevel="0" collapsed="false">
      <c r="A8" s="26" t="s">
        <v>117</v>
      </c>
      <c r="B8" s="26" t="s">
        <v>118</v>
      </c>
      <c r="C8" s="26" t="s">
        <v>251</v>
      </c>
      <c r="D8" s="26"/>
      <c r="E8" s="26" t="s">
        <v>252</v>
      </c>
      <c r="F8" s="26" t="s">
        <v>253</v>
      </c>
      <c r="G8" s="26" t="s">
        <v>254</v>
      </c>
      <c r="H8" s="27"/>
    </row>
    <row r="9" customFormat="false" ht="15" hidden="false" customHeight="false" outlineLevel="0" collapsed="false">
      <c r="A9" s="26" t="s">
        <v>154</v>
      </c>
      <c r="B9" s="26" t="s">
        <v>118</v>
      </c>
      <c r="C9" s="26" t="s">
        <v>255</v>
      </c>
      <c r="D9" s="26"/>
      <c r="E9" s="26" t="s">
        <v>256</v>
      </c>
      <c r="F9" s="26" t="s">
        <v>320</v>
      </c>
      <c r="G9" s="26" t="s">
        <v>321</v>
      </c>
      <c r="H9" s="27"/>
    </row>
    <row r="10" customFormat="false" ht="15" hidden="false" customHeight="false" outlineLevel="0" collapsed="false">
      <c r="A10" s="26" t="s">
        <v>177</v>
      </c>
      <c r="B10" s="26" t="s">
        <v>118</v>
      </c>
      <c r="C10" s="26" t="s">
        <v>259</v>
      </c>
      <c r="D10" s="26"/>
      <c r="E10" s="26" t="s">
        <v>260</v>
      </c>
      <c r="F10" s="26" t="s">
        <v>261</v>
      </c>
      <c r="G10" s="26" t="s">
        <v>322</v>
      </c>
      <c r="H10" s="27"/>
    </row>
    <row r="11" customFormat="false" ht="15" hidden="false" customHeight="false" outlineLevel="0" collapsed="false">
      <c r="A11" s="26" t="s">
        <v>195</v>
      </c>
      <c r="B11" s="26" t="s">
        <v>118</v>
      </c>
      <c r="C11" s="26" t="s">
        <v>263</v>
      </c>
      <c r="D11" s="26"/>
      <c r="E11" s="26" t="s">
        <v>264</v>
      </c>
      <c r="F11" s="26" t="s">
        <v>323</v>
      </c>
      <c r="G11" s="26" t="s">
        <v>324</v>
      </c>
      <c r="H11" s="27"/>
    </row>
    <row r="12" customFormat="false" ht="15" hidden="false" customHeight="false" outlineLevel="0" collapsed="false">
      <c r="A12" s="26" t="s">
        <v>220</v>
      </c>
      <c r="B12" s="26" t="s">
        <v>118</v>
      </c>
      <c r="C12" s="26" t="s">
        <v>267</v>
      </c>
      <c r="D12" s="26"/>
      <c r="E12" s="26" t="s">
        <v>268</v>
      </c>
      <c r="F12" s="26" t="s">
        <v>325</v>
      </c>
      <c r="G12" s="26" t="s">
        <v>326</v>
      </c>
      <c r="H12" s="27"/>
    </row>
    <row r="13" customFormat="false" ht="15" hidden="false" customHeight="false" outlineLevel="0" collapsed="false">
      <c r="A13" s="4" t="s">
        <v>327</v>
      </c>
      <c r="B13" s="4" t="s">
        <v>118</v>
      </c>
      <c r="C13" s="4" t="s">
        <v>276</v>
      </c>
      <c r="D13" s="4" t="s">
        <v>277</v>
      </c>
      <c r="E13" s="4" t="s">
        <v>328</v>
      </c>
      <c r="F13" s="4" t="s">
        <v>329</v>
      </c>
      <c r="G13" s="4" t="s">
        <v>164</v>
      </c>
      <c r="H13" s="28" t="s">
        <v>280</v>
      </c>
    </row>
    <row r="14" customFormat="false" ht="15" hidden="false" customHeight="false" outlineLevel="0" collapsed="false">
      <c r="A14" s="4" t="s">
        <v>330</v>
      </c>
      <c r="B14" s="4" t="s">
        <v>118</v>
      </c>
      <c r="C14" s="4" t="s">
        <v>276</v>
      </c>
      <c r="D14" s="4" t="s">
        <v>277</v>
      </c>
      <c r="E14" s="4" t="s">
        <v>331</v>
      </c>
      <c r="F14" s="4" t="s">
        <v>332</v>
      </c>
      <c r="G14" s="4" t="s">
        <v>333</v>
      </c>
      <c r="H14" s="28" t="s">
        <v>334</v>
      </c>
    </row>
    <row r="15" customFormat="false" ht="15" hidden="false" customHeight="false" outlineLevel="0" collapsed="false">
      <c r="A15" s="4" t="s">
        <v>335</v>
      </c>
      <c r="B15" s="4" t="s">
        <v>118</v>
      </c>
      <c r="C15" s="4" t="s">
        <v>276</v>
      </c>
      <c r="D15" s="4" t="s">
        <v>277</v>
      </c>
      <c r="E15" s="4" t="s">
        <v>336</v>
      </c>
      <c r="F15" s="4" t="s">
        <v>337</v>
      </c>
      <c r="G15" s="4" t="s">
        <v>333</v>
      </c>
      <c r="H15" s="28" t="s">
        <v>338</v>
      </c>
    </row>
    <row r="16" customFormat="false" ht="15" hidden="false" customHeight="false" outlineLevel="0" collapsed="false">
      <c r="A16" s="4" t="s">
        <v>339</v>
      </c>
      <c r="B16" s="4" t="s">
        <v>118</v>
      </c>
      <c r="C16" s="4" t="s">
        <v>276</v>
      </c>
      <c r="D16" s="4" t="s">
        <v>277</v>
      </c>
      <c r="E16" s="4" t="s">
        <v>340</v>
      </c>
      <c r="F16" s="4" t="s">
        <v>341</v>
      </c>
      <c r="G16" s="4" t="s">
        <v>333</v>
      </c>
      <c r="H16" s="28" t="s">
        <v>342</v>
      </c>
    </row>
    <row r="17" customFormat="false" ht="15" hidden="false" customHeight="false" outlineLevel="0" collapsed="false">
      <c r="A17" s="4" t="s">
        <v>343</v>
      </c>
      <c r="B17" s="4" t="s">
        <v>118</v>
      </c>
      <c r="C17" s="4" t="s">
        <v>276</v>
      </c>
      <c r="D17" s="4" t="s">
        <v>277</v>
      </c>
      <c r="E17" s="4" t="s">
        <v>344</v>
      </c>
      <c r="F17" s="4" t="s">
        <v>345</v>
      </c>
      <c r="G17" s="4" t="s">
        <v>346</v>
      </c>
      <c r="H17" s="28" t="s">
        <v>342</v>
      </c>
    </row>
    <row r="19" customFormat="false" ht="15" hidden="false" customHeight="false" outlineLevel="0" collapsed="false">
      <c r="A19" s="9" t="s">
        <v>153</v>
      </c>
    </row>
  </sheetData>
  <hyperlinks>
    <hyperlink ref="A19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104</v>
      </c>
    </row>
    <row r="3" customFormat="false" ht="15" hidden="false" customHeight="false" outlineLevel="0" collapsed="false">
      <c r="A3" s="25" t="s">
        <v>108</v>
      </c>
      <c r="B3" s="10" t="s">
        <v>58</v>
      </c>
    </row>
    <row r="4" customFormat="false" ht="15" hidden="false" customHeight="false" outlineLevel="0" collapsed="false">
      <c r="A4" s="25" t="s">
        <v>109</v>
      </c>
      <c r="B4" s="10" t="s">
        <v>246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117</v>
      </c>
      <c r="B7" s="26" t="s">
        <v>118</v>
      </c>
      <c r="C7" s="26" t="s">
        <v>251</v>
      </c>
      <c r="D7" s="26"/>
      <c r="E7" s="26" t="s">
        <v>252</v>
      </c>
      <c r="F7" s="26" t="s">
        <v>253</v>
      </c>
      <c r="G7" s="26" t="s">
        <v>254</v>
      </c>
      <c r="H7" s="27"/>
    </row>
    <row r="8" customFormat="false" ht="23.85" hidden="false" customHeight="false" outlineLevel="0" collapsed="false">
      <c r="A8" s="26" t="s">
        <v>154</v>
      </c>
      <c r="B8" s="26" t="s">
        <v>118</v>
      </c>
      <c r="C8" s="26" t="s">
        <v>347</v>
      </c>
      <c r="D8" s="26"/>
      <c r="E8" s="26" t="s">
        <v>348</v>
      </c>
      <c r="F8" s="26" t="s">
        <v>349</v>
      </c>
      <c r="G8" s="26" t="s">
        <v>321</v>
      </c>
      <c r="H8" s="27"/>
    </row>
    <row r="9" customFormat="false" ht="15" hidden="false" customHeight="false" outlineLevel="0" collapsed="false">
      <c r="A9" s="26" t="s">
        <v>177</v>
      </c>
      <c r="B9" s="26" t="s">
        <v>118</v>
      </c>
      <c r="C9" s="26" t="s">
        <v>259</v>
      </c>
      <c r="D9" s="26"/>
      <c r="E9" s="26" t="s">
        <v>260</v>
      </c>
      <c r="F9" s="26" t="s">
        <v>261</v>
      </c>
      <c r="G9" s="26" t="s">
        <v>322</v>
      </c>
      <c r="H9" s="27"/>
    </row>
    <row r="10" customFormat="false" ht="23.85" hidden="false" customHeight="false" outlineLevel="0" collapsed="false">
      <c r="A10" s="26" t="s">
        <v>195</v>
      </c>
      <c r="B10" s="26" t="s">
        <v>118</v>
      </c>
      <c r="C10" s="26" t="s">
        <v>350</v>
      </c>
      <c r="D10" s="26"/>
      <c r="E10" s="26" t="s">
        <v>351</v>
      </c>
      <c r="F10" s="26" t="s">
        <v>352</v>
      </c>
      <c r="G10" s="26" t="s">
        <v>324</v>
      </c>
      <c r="H10" s="27"/>
    </row>
    <row r="11" customFormat="false" ht="15" hidden="false" customHeight="false" outlineLevel="0" collapsed="false">
      <c r="A11" s="26" t="s">
        <v>353</v>
      </c>
      <c r="B11" s="26" t="s">
        <v>118</v>
      </c>
      <c r="C11" s="26" t="s">
        <v>119</v>
      </c>
      <c r="D11" s="26"/>
      <c r="E11" s="26" t="s">
        <v>354</v>
      </c>
      <c r="F11" s="26" t="s">
        <v>355</v>
      </c>
      <c r="G11" s="26" t="s">
        <v>164</v>
      </c>
      <c r="H11" s="27" t="s">
        <v>356</v>
      </c>
    </row>
    <row r="12" customFormat="false" ht="15" hidden="false" customHeight="false" outlineLevel="0" collapsed="false">
      <c r="A12" s="4" t="s">
        <v>357</v>
      </c>
      <c r="B12" s="4" t="s">
        <v>118</v>
      </c>
      <c r="C12" s="4" t="s">
        <v>276</v>
      </c>
      <c r="D12" s="4" t="s">
        <v>277</v>
      </c>
      <c r="E12" s="4" t="s">
        <v>358</v>
      </c>
      <c r="F12" s="4" t="s">
        <v>359</v>
      </c>
      <c r="G12" s="4" t="s">
        <v>164</v>
      </c>
      <c r="H12" s="28" t="s">
        <v>360</v>
      </c>
    </row>
    <row r="13" customFormat="false" ht="15" hidden="false" customHeight="false" outlineLevel="0" collapsed="false">
      <c r="A13" s="4" t="s">
        <v>361</v>
      </c>
      <c r="B13" s="4" t="s">
        <v>118</v>
      </c>
      <c r="C13" s="4" t="s">
        <v>276</v>
      </c>
      <c r="D13" s="4" t="s">
        <v>277</v>
      </c>
      <c r="E13" s="4" t="s">
        <v>362</v>
      </c>
      <c r="F13" s="4" t="s">
        <v>363</v>
      </c>
      <c r="G13" s="4" t="s">
        <v>164</v>
      </c>
      <c r="H13" s="28" t="s">
        <v>364</v>
      </c>
    </row>
    <row r="15" customFormat="false" ht="15" hidden="false" customHeight="false" outlineLevel="0" collapsed="false">
      <c r="A15" s="9" t="s">
        <v>153</v>
      </c>
    </row>
  </sheetData>
  <hyperlinks>
    <hyperlink ref="A15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105</v>
      </c>
    </row>
    <row r="3" customFormat="false" ht="15" hidden="false" customHeight="false" outlineLevel="0" collapsed="false">
      <c r="A3" s="25" t="s">
        <v>108</v>
      </c>
      <c r="B3" s="10" t="s">
        <v>63</v>
      </c>
    </row>
    <row r="4" customFormat="false" ht="15" hidden="false" customHeight="false" outlineLevel="0" collapsed="false">
      <c r="A4" s="25" t="s">
        <v>109</v>
      </c>
      <c r="B4" s="10" t="s">
        <v>246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117</v>
      </c>
      <c r="B7" s="26" t="s">
        <v>118</v>
      </c>
      <c r="C7" s="26" t="s">
        <v>251</v>
      </c>
      <c r="D7" s="26"/>
      <c r="E7" s="26" t="s">
        <v>252</v>
      </c>
      <c r="F7" s="26" t="s">
        <v>253</v>
      </c>
      <c r="G7" s="26" t="s">
        <v>254</v>
      </c>
      <c r="H7" s="27"/>
    </row>
    <row r="8" customFormat="false" ht="23.85" hidden="false" customHeight="false" outlineLevel="0" collapsed="false">
      <c r="A8" s="26" t="s">
        <v>154</v>
      </c>
      <c r="B8" s="26" t="s">
        <v>118</v>
      </c>
      <c r="C8" s="26" t="s">
        <v>347</v>
      </c>
      <c r="D8" s="26"/>
      <c r="E8" s="26" t="s">
        <v>348</v>
      </c>
      <c r="F8" s="26" t="s">
        <v>365</v>
      </c>
      <c r="G8" s="26" t="s">
        <v>321</v>
      </c>
      <c r="H8" s="27"/>
    </row>
    <row r="9" customFormat="false" ht="15" hidden="false" customHeight="false" outlineLevel="0" collapsed="false">
      <c r="A9" s="26" t="s">
        <v>177</v>
      </c>
      <c r="B9" s="26" t="s">
        <v>118</v>
      </c>
      <c r="C9" s="26" t="s">
        <v>259</v>
      </c>
      <c r="D9" s="26"/>
      <c r="E9" s="26" t="s">
        <v>260</v>
      </c>
      <c r="F9" s="26" t="s">
        <v>261</v>
      </c>
      <c r="G9" s="26" t="s">
        <v>322</v>
      </c>
      <c r="H9" s="27"/>
    </row>
    <row r="10" customFormat="false" ht="23.85" hidden="false" customHeight="false" outlineLevel="0" collapsed="false">
      <c r="A10" s="26" t="s">
        <v>195</v>
      </c>
      <c r="B10" s="26" t="s">
        <v>118</v>
      </c>
      <c r="C10" s="26" t="s">
        <v>350</v>
      </c>
      <c r="D10" s="26"/>
      <c r="E10" s="26" t="s">
        <v>351</v>
      </c>
      <c r="F10" s="26" t="s">
        <v>366</v>
      </c>
      <c r="G10" s="26" t="s">
        <v>324</v>
      </c>
      <c r="H10" s="27"/>
    </row>
    <row r="11" customFormat="false" ht="23.85" hidden="false" customHeight="false" outlineLevel="0" collapsed="false">
      <c r="A11" s="26" t="s">
        <v>220</v>
      </c>
      <c r="B11" s="26" t="s">
        <v>118</v>
      </c>
      <c r="C11" s="26" t="s">
        <v>267</v>
      </c>
      <c r="D11" s="26"/>
      <c r="E11" s="26" t="s">
        <v>268</v>
      </c>
      <c r="F11" s="26" t="s">
        <v>269</v>
      </c>
      <c r="G11" s="26" t="s">
        <v>367</v>
      </c>
      <c r="H11" s="27"/>
    </row>
    <row r="12" customFormat="false" ht="15" hidden="false" customHeight="false" outlineLevel="0" collapsed="false">
      <c r="A12" s="26" t="s">
        <v>368</v>
      </c>
      <c r="B12" s="26" t="s">
        <v>118</v>
      </c>
      <c r="C12" s="26" t="s">
        <v>119</v>
      </c>
      <c r="D12" s="26"/>
      <c r="E12" s="26" t="s">
        <v>369</v>
      </c>
      <c r="F12" s="26" t="s">
        <v>370</v>
      </c>
      <c r="G12" s="26" t="s">
        <v>164</v>
      </c>
      <c r="H12" s="27" t="s">
        <v>142</v>
      </c>
    </row>
    <row r="13" customFormat="false" ht="15" hidden="false" customHeight="false" outlineLevel="0" collapsed="false">
      <c r="A13" s="4" t="s">
        <v>353</v>
      </c>
      <c r="B13" s="4" t="s">
        <v>118</v>
      </c>
      <c r="C13" s="4" t="s">
        <v>276</v>
      </c>
      <c r="D13" s="4" t="s">
        <v>277</v>
      </c>
      <c r="E13" s="4" t="s">
        <v>371</v>
      </c>
      <c r="F13" s="4" t="s">
        <v>372</v>
      </c>
      <c r="G13" s="4" t="s">
        <v>164</v>
      </c>
      <c r="H13" s="28" t="s">
        <v>373</v>
      </c>
    </row>
    <row r="14" customFormat="false" ht="15" hidden="false" customHeight="false" outlineLevel="0" collapsed="false">
      <c r="A14" s="4" t="s">
        <v>374</v>
      </c>
      <c r="B14" s="4" t="s">
        <v>118</v>
      </c>
      <c r="C14" s="4" t="s">
        <v>276</v>
      </c>
      <c r="D14" s="4" t="s">
        <v>277</v>
      </c>
      <c r="E14" s="4" t="s">
        <v>375</v>
      </c>
      <c r="F14" s="4" t="s">
        <v>376</v>
      </c>
      <c r="G14" s="4" t="s">
        <v>164</v>
      </c>
      <c r="H14" s="28" t="s">
        <v>377</v>
      </c>
    </row>
    <row r="16" customFormat="false" ht="15" hidden="false" customHeight="false" outlineLevel="0" collapsed="false">
      <c r="A16" s="9" t="s">
        <v>153</v>
      </c>
    </row>
  </sheetData>
  <hyperlinks>
    <hyperlink ref="A16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106</v>
      </c>
    </row>
    <row r="3" customFormat="false" ht="15" hidden="false" customHeight="false" outlineLevel="0" collapsed="false">
      <c r="A3" s="25" t="s">
        <v>108</v>
      </c>
      <c r="B3" s="10" t="s">
        <v>68</v>
      </c>
    </row>
    <row r="4" customFormat="false" ht="15" hidden="false" customHeight="false" outlineLevel="0" collapsed="false">
      <c r="A4" s="25" t="s">
        <v>109</v>
      </c>
      <c r="B4" s="10" t="s">
        <v>378</v>
      </c>
    </row>
    <row r="6" customFormat="false" ht="15" hidden="false" customHeight="false" outlineLevel="0" collapsed="false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86</v>
      </c>
      <c r="F6" s="3" t="s">
        <v>114</v>
      </c>
      <c r="G6" s="3" t="s">
        <v>115</v>
      </c>
      <c r="H6" s="3" t="s">
        <v>116</v>
      </c>
    </row>
    <row r="7" customFormat="false" ht="15" hidden="false" customHeight="false" outlineLevel="0" collapsed="false">
      <c r="A7" s="26" t="s">
        <v>117</v>
      </c>
      <c r="B7" s="26" t="s">
        <v>118</v>
      </c>
      <c r="C7" s="26" t="s">
        <v>251</v>
      </c>
      <c r="D7" s="26"/>
      <c r="E7" s="26" t="s">
        <v>252</v>
      </c>
      <c r="F7" s="26" t="s">
        <v>253</v>
      </c>
      <c r="G7" s="26" t="s">
        <v>254</v>
      </c>
      <c r="H7" s="27"/>
    </row>
    <row r="8" customFormat="false" ht="23.85" hidden="false" customHeight="false" outlineLevel="0" collapsed="false">
      <c r="A8" s="26" t="s">
        <v>154</v>
      </c>
      <c r="B8" s="26" t="s">
        <v>118</v>
      </c>
      <c r="C8" s="26" t="s">
        <v>347</v>
      </c>
      <c r="D8" s="26"/>
      <c r="E8" s="26" t="s">
        <v>379</v>
      </c>
      <c r="F8" s="26" t="s">
        <v>380</v>
      </c>
      <c r="G8" s="26" t="s">
        <v>321</v>
      </c>
      <c r="H8" s="27"/>
    </row>
    <row r="9" customFormat="false" ht="23.85" hidden="false" customHeight="false" outlineLevel="0" collapsed="false">
      <c r="A9" s="26" t="s">
        <v>195</v>
      </c>
      <c r="B9" s="26" t="s">
        <v>118</v>
      </c>
      <c r="C9" s="26" t="s">
        <v>350</v>
      </c>
      <c r="D9" s="26"/>
      <c r="E9" s="26" t="s">
        <v>351</v>
      </c>
      <c r="F9" s="26" t="s">
        <v>381</v>
      </c>
      <c r="G9" s="26" t="s">
        <v>324</v>
      </c>
      <c r="H9" s="27"/>
    </row>
    <row r="10" customFormat="false" ht="15" hidden="false" customHeight="false" outlineLevel="0" collapsed="false">
      <c r="A10" s="4" t="s">
        <v>382</v>
      </c>
      <c r="B10" s="4" t="s">
        <v>118</v>
      </c>
      <c r="C10" s="4" t="s">
        <v>276</v>
      </c>
      <c r="D10" s="4" t="s">
        <v>277</v>
      </c>
      <c r="E10" s="4" t="s">
        <v>383</v>
      </c>
      <c r="F10" s="4" t="s">
        <v>384</v>
      </c>
      <c r="G10" s="4" t="s">
        <v>164</v>
      </c>
      <c r="H10" s="28" t="s">
        <v>284</v>
      </c>
    </row>
    <row r="11" customFormat="false" ht="15" hidden="false" customHeight="false" outlineLevel="0" collapsed="false">
      <c r="A11" s="4" t="s">
        <v>385</v>
      </c>
      <c r="B11" s="4" t="s">
        <v>386</v>
      </c>
      <c r="C11" s="4" t="s">
        <v>276</v>
      </c>
      <c r="D11" s="4" t="s">
        <v>387</v>
      </c>
      <c r="E11" s="4" t="s">
        <v>388</v>
      </c>
      <c r="F11" s="4" t="s">
        <v>389</v>
      </c>
      <c r="G11" s="4" t="s">
        <v>164</v>
      </c>
      <c r="H11" s="28" t="s">
        <v>290</v>
      </c>
    </row>
    <row r="12" customFormat="false" ht="15" hidden="false" customHeight="false" outlineLevel="0" collapsed="false">
      <c r="A12" s="4" t="s">
        <v>390</v>
      </c>
      <c r="B12" s="4" t="s">
        <v>118</v>
      </c>
      <c r="C12" s="4" t="s">
        <v>276</v>
      </c>
      <c r="D12" s="4" t="s">
        <v>387</v>
      </c>
      <c r="E12" s="4" t="s">
        <v>391</v>
      </c>
      <c r="F12" s="4" t="s">
        <v>392</v>
      </c>
      <c r="G12" s="4" t="s">
        <v>164</v>
      </c>
      <c r="H12" s="28" t="s">
        <v>308</v>
      </c>
    </row>
    <row r="14" customFormat="false" ht="15" hidden="false" customHeight="false" outlineLevel="0" collapsed="false">
      <c r="A14" s="9" t="s">
        <v>153</v>
      </c>
    </row>
  </sheetData>
  <hyperlinks>
    <hyperlink ref="A14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2026-09-25T09:35:46Z</dcterms:created>
  <dc:creator>openpyxl</dc:creator>
  <dc:description/>
  <dc:language>en-US</dc:language>
  <cp:lastModifiedBy/>
  <dcterms:modified xsi:type="dcterms:W3CDTF">2026-09-25T09:35:46Z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